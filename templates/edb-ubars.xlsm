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ingorourke.sharepoint.com/sites/AvonmouthReinforcementManufacturingFacility2/Shared Documents/13. TECHNICAL/Digital Build/Firma/1. NI/1613. 2HDAB0719AC1/"/>
    </mc:Choice>
  </mc:AlternateContent>
  <xr:revisionPtr revIDLastSave="99" documentId="8_{B5B6E70F-6152-41AE-85BD-98A7CCDC385A}" xr6:coauthVersionLast="47" xr6:coauthVersionMax="47" xr10:uidLastSave="{8923C534-731E-4BA0-852C-50E671BD9D19}"/>
  <bookViews>
    <workbookView xWindow="28680" yWindow="-120" windowWidth="38640" windowHeight="21120" xr2:uid="{A847C10B-5554-45C2-B8AC-A44DB7633610}"/>
  </bookViews>
  <sheets>
    <sheet name="Span Lookup" sheetId="9" r:id="rId1"/>
    <sheet name="Lifting Calculation" sheetId="12" r:id="rId2"/>
    <sheet name="Lists" sheetId="8" r:id="rId3"/>
  </sheets>
  <externalReferences>
    <externalReference r:id="rId4"/>
  </externalReferences>
  <definedNames>
    <definedName name="_xlnm._FilterDatabase" localSheetId="0" hidden="1">'Span Lookup'!$B$33:$G$36</definedName>
    <definedName name="Bar_Diameter">Lists!$B$3:$B$7</definedName>
    <definedName name="Model">[1]Lists!$Q$1:$Q$28</definedName>
    <definedName name="Pour_Thickness">Lists!$F$3:$F$6</definedName>
    <definedName name="Redetailing_Status">[1]Lists!$J$4:$J$9</definedName>
    <definedName name="UDL_Factor">Lists!$H$3:$H$9</definedName>
    <definedName name="Yes_No">Lists!$J$3:$J$4</definedName>
    <definedName name="YesNo">[1]Lists!$H$9:$H$10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2" l="1"/>
  <c r="J19" i="12"/>
  <c r="E76" i="12" a="1"/>
  <c r="E61" i="12" a="1"/>
  <c r="E40" i="12" a="1"/>
  <c r="E39" i="12" a="1"/>
  <c r="E77" i="12" a="1"/>
  <c r="E39" i="12" l="1"/>
  <c r="E40" i="12"/>
  <c r="E77" i="12"/>
  <c r="E76" i="12"/>
  <c r="E61" i="12"/>
  <c r="D77" i="12"/>
  <c r="I19" i="12"/>
  <c r="H19" i="12"/>
  <c r="G18" i="12"/>
  <c r="G15" i="12"/>
  <c r="G11" i="12"/>
  <c r="G12" i="12"/>
  <c r="G13" i="12"/>
  <c r="G14" i="12"/>
  <c r="D32" i="12" s="1"/>
  <c r="G7" i="12"/>
  <c r="G8" i="12"/>
  <c r="D28" i="12" s="1"/>
  <c r="G9" i="12"/>
  <c r="E62" i="12" a="1"/>
  <c r="E44" i="12" a="1"/>
  <c r="E44" i="12" l="1"/>
  <c r="E62" i="12"/>
  <c r="D44" i="12"/>
  <c r="D62" i="12"/>
  <c r="H5" i="12"/>
  <c r="I5" i="12"/>
  <c r="J5" i="12"/>
  <c r="H6" i="12"/>
  <c r="I6" i="12"/>
  <c r="J6" i="12"/>
  <c r="I7" i="12"/>
  <c r="J7" i="12"/>
  <c r="I8" i="12"/>
  <c r="J8" i="12"/>
  <c r="I9" i="12"/>
  <c r="J9" i="12"/>
  <c r="H10" i="12"/>
  <c r="I10" i="12"/>
  <c r="J10" i="12"/>
  <c r="H11" i="12"/>
  <c r="I11" i="12"/>
  <c r="J11" i="12"/>
  <c r="H12" i="12"/>
  <c r="I12" i="12"/>
  <c r="J12" i="12"/>
  <c r="H13" i="12"/>
  <c r="I13" i="12"/>
  <c r="J13" i="12"/>
  <c r="I14" i="12"/>
  <c r="J14" i="12"/>
  <c r="I15" i="12"/>
  <c r="J15" i="12"/>
  <c r="H4" i="12"/>
  <c r="I4" i="12"/>
  <c r="J4" i="12"/>
  <c r="G5" i="12"/>
  <c r="G6" i="12"/>
  <c r="G10" i="12"/>
  <c r="E9" i="12" a="1"/>
  <c r="E8" i="12" a="1"/>
  <c r="E7" i="12" a="1"/>
  <c r="D10" i="12" l="1"/>
  <c r="D11" i="12"/>
  <c r="E8" i="12"/>
  <c r="E7" i="12"/>
  <c r="E9" i="12"/>
  <c r="D8" i="12"/>
  <c r="D7" i="12"/>
  <c r="D12" i="12"/>
  <c r="D6" i="12"/>
  <c r="D19" i="12"/>
  <c r="D9" i="12"/>
  <c r="D17" i="12"/>
  <c r="D18" i="12"/>
  <c r="D31" i="12" s="1"/>
  <c r="D4" i="12"/>
  <c r="D5" i="12"/>
  <c r="G17" i="12"/>
  <c r="G4" i="12"/>
  <c r="E32" i="12" a="1"/>
  <c r="E15" i="12" a="1"/>
  <c r="E14" i="12" a="1"/>
  <c r="E31" i="12" a="1"/>
  <c r="E22" i="12" a="1"/>
  <c r="E21" i="12" a="1"/>
  <c r="E20" i="12" a="1"/>
  <c r="E13" i="12" a="1"/>
  <c r="E41" i="12" a="1"/>
  <c r="E31" i="12" l="1"/>
  <c r="E32" i="12"/>
  <c r="E14" i="12"/>
  <c r="E20" i="12"/>
  <c r="E41" i="12"/>
  <c r="D20" i="12"/>
  <c r="D41" i="12"/>
  <c r="D22" i="12"/>
  <c r="D21" i="12"/>
  <c r="E22" i="12"/>
  <c r="E21" i="12"/>
  <c r="E13" i="12"/>
  <c r="E15" i="12"/>
  <c r="D14" i="12"/>
  <c r="D27" i="12" s="1"/>
  <c r="D13" i="12"/>
  <c r="D15" i="12"/>
  <c r="E27" i="12" a="1"/>
  <c r="E25" i="12" a="1"/>
  <c r="E23" i="12" a="1"/>
  <c r="E16" i="12" a="1"/>
  <c r="E24" i="12" a="1"/>
  <c r="E43" i="12" a="1"/>
  <c r="E42" i="12" a="1"/>
  <c r="E27" i="12" l="1"/>
  <c r="E42" i="12"/>
  <c r="E43" i="12"/>
  <c r="D42" i="12"/>
  <c r="D46" i="12" s="1"/>
  <c r="E23" i="12"/>
  <c r="E25" i="12"/>
  <c r="E24" i="12"/>
  <c r="E16" i="12"/>
  <c r="D43" i="12"/>
  <c r="D25" i="12"/>
  <c r="D30" i="12" s="1"/>
  <c r="D23" i="12"/>
  <c r="D24" i="12"/>
  <c r="D26" i="12" s="1"/>
  <c r="D16" i="12"/>
  <c r="E30" i="12" a="1"/>
  <c r="E46" i="12" a="1"/>
  <c r="E45" i="12" a="1"/>
  <c r="E29" i="12" a="1"/>
  <c r="E29" i="12" l="1"/>
  <c r="E45" i="12"/>
  <c r="E46" i="12"/>
  <c r="E30" i="12"/>
  <c r="D79" i="12"/>
  <c r="D86" i="12" s="1"/>
  <c r="D49" i="12"/>
  <c r="D50" i="12" s="1"/>
  <c r="D45" i="12"/>
  <c r="D64" i="12"/>
  <c r="D71" i="12" s="1"/>
  <c r="E33" i="12" a="1"/>
  <c r="E33" i="12" l="1"/>
  <c r="D56" i="12"/>
  <c r="D65" i="12"/>
  <c r="D66" i="12" s="1"/>
  <c r="D80" i="12"/>
  <c r="D81" i="12" s="1"/>
  <c r="D51" i="12"/>
  <c r="D33" i="12"/>
  <c r="D29" i="12"/>
  <c r="E52" i="12" a="1"/>
  <c r="E82" i="12" a="1"/>
  <c r="E67" i="12" a="1"/>
  <c r="E34" i="12" a="1"/>
  <c r="E34" i="12" l="1"/>
  <c r="E67" i="12"/>
  <c r="E52" i="12"/>
  <c r="D67" i="12"/>
  <c r="D52" i="12"/>
  <c r="E82" i="12"/>
  <c r="D82" i="12"/>
  <c r="D34" i="12"/>
  <c r="E53" i="12" a="1"/>
  <c r="E83" i="12" a="1"/>
  <c r="E68" i="12" a="1"/>
  <c r="E35" i="12" a="1"/>
  <c r="E35" i="12" l="1"/>
  <c r="E53" i="12"/>
  <c r="E68" i="12"/>
  <c r="D53" i="12"/>
  <c r="D68" i="12"/>
  <c r="E83" i="12"/>
  <c r="D83" i="12"/>
  <c r="D35" i="12"/>
  <c r="E18" i="12" a="1"/>
  <c r="E19" i="12" a="1"/>
  <c r="E28" i="12" a="1"/>
  <c r="E6" i="12" a="1"/>
  <c r="E5" i="12" a="1"/>
  <c r="E11" i="12" a="1"/>
  <c r="E12" i="12" a="1"/>
  <c r="E17" i="12" a="1"/>
  <c r="E4" i="12" a="1"/>
  <c r="E10" i="12" a="1"/>
  <c r="E80" i="12" a="1"/>
  <c r="E84" i="12" a="1"/>
  <c r="E64" i="12" a="1"/>
  <c r="E81" i="12" a="1"/>
  <c r="E56" i="12" a="1"/>
  <c r="E51" i="12" a="1"/>
  <c r="E65" i="12" a="1"/>
  <c r="E49" i="12" a="1"/>
  <c r="E26" i="12" a="1"/>
  <c r="E69" i="12" a="1"/>
  <c r="E66" i="12" a="1"/>
  <c r="E54" i="12" a="1"/>
  <c r="E71" i="12" a="1"/>
  <c r="E50" i="12" a="1"/>
  <c r="E79" i="12" a="1"/>
  <c r="E86" i="12" a="1"/>
  <c r="E17" i="12" l="1"/>
  <c r="E18" i="12"/>
  <c r="E19" i="12"/>
  <c r="E12" i="12"/>
  <c r="E28" i="12"/>
  <c r="E79" i="12"/>
  <c r="E64" i="12"/>
  <c r="E49" i="12"/>
  <c r="E50" i="12"/>
  <c r="E80" i="12"/>
  <c r="E26" i="12"/>
  <c r="E56" i="12"/>
  <c r="E86" i="12"/>
  <c r="E71" i="12"/>
  <c r="E65" i="12"/>
  <c r="E66" i="12"/>
  <c r="E81" i="12"/>
  <c r="E51" i="12"/>
  <c r="E11" i="12"/>
  <c r="E10" i="12"/>
  <c r="E6" i="12"/>
  <c r="E5" i="12"/>
  <c r="E4" i="12"/>
  <c r="E69" i="12"/>
  <c r="E54" i="12"/>
  <c r="D69" i="12"/>
  <c r="D54" i="12"/>
  <c r="E84" i="12"/>
  <c r="D84" i="12"/>
  <c r="G19" i="12"/>
  <c r="C39" i="9" s="1"/>
  <c r="D37" i="12"/>
  <c r="D36" i="12"/>
  <c r="D47" i="12" l="1"/>
  <c r="D48" i="12"/>
  <c r="D38" i="12"/>
  <c r="G20" i="12" s="1"/>
  <c r="D63" i="12"/>
  <c r="E70" i="12" a="1"/>
  <c r="E78" i="12" a="1"/>
  <c r="E55" i="12" a="1"/>
  <c r="E57" i="12" a="1"/>
  <c r="E72" i="12" a="1"/>
  <c r="E78" i="12" l="1"/>
  <c r="C36" i="9"/>
  <c r="E57" i="12"/>
  <c r="E55" i="12"/>
  <c r="E72" i="12"/>
  <c r="E70" i="12"/>
  <c r="D78" i="12"/>
  <c r="D85" i="12" s="1"/>
  <c r="D72" i="12"/>
  <c r="D70" i="12"/>
  <c r="D57" i="12"/>
  <c r="D55" i="12"/>
  <c r="E85" i="12" a="1"/>
  <c r="E87" i="12" a="1"/>
  <c r="E58" i="12" a="1"/>
  <c r="E73" i="12" a="1"/>
  <c r="D87" i="12" l="1"/>
  <c r="D88" i="12" s="1"/>
  <c r="D89" i="12" s="1"/>
  <c r="E73" i="12"/>
  <c r="E87" i="12"/>
  <c r="E85" i="12"/>
  <c r="D73" i="12"/>
  <c r="D74" i="12" s="1"/>
  <c r="E58" i="12"/>
  <c r="D58" i="12"/>
  <c r="E89" i="12" a="1"/>
  <c r="E75" i="12" a="1"/>
  <c r="E88" i="12" a="1"/>
  <c r="E74" i="12" a="1"/>
  <c r="E59" i="12" a="1"/>
  <c r="E90" i="12" a="1"/>
  <c r="E88" i="12" l="1"/>
  <c r="E75" i="12"/>
  <c r="E74" i="12"/>
  <c r="D75" i="12"/>
  <c r="I20" i="12" s="1"/>
  <c r="E90" i="12"/>
  <c r="E89" i="12"/>
  <c r="D90" i="12"/>
  <c r="J20" i="12" s="1"/>
  <c r="E59" i="12"/>
  <c r="D59" i="12"/>
  <c r="E60" i="12" a="1"/>
  <c r="F36" i="9" l="1"/>
  <c r="E36" i="9"/>
  <c r="E60" i="12"/>
  <c r="D60" i="12"/>
  <c r="H20" i="12" s="1"/>
  <c r="D36" i="9" l="1"/>
  <c r="E36" i="12" a="1"/>
  <c r="E47" i="12" a="1"/>
  <c r="E48" i="12" a="1"/>
  <c r="E63" i="12" a="1"/>
  <c r="E37" i="12" a="1"/>
  <c r="E38" i="12" a="1"/>
  <c r="E38" i="12" l="1"/>
  <c r="E63" i="12"/>
  <c r="E48" i="12"/>
  <c r="E47" i="12"/>
  <c r="E37" i="12"/>
  <c r="E3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<sst xmlns="http://schemas.openxmlformats.org/spreadsheetml/2006/main" count="443" uniqueCount="244">
  <si>
    <t xml:space="preserve">AVONMOUTH REBAR FACILITY </t>
  </si>
  <si>
    <t>A4100</t>
  </si>
  <si>
    <t>EDB 053</t>
  </si>
  <si>
    <t>LIFTING SPAN /BRACING BAR CALCULATOR</t>
  </si>
  <si>
    <t>DESIGN BY : EM</t>
  </si>
  <si>
    <t>CHECKED BY RH</t>
  </si>
  <si>
    <t>DATE 24/06/25</t>
  </si>
  <si>
    <t>IF A CAGE HAS DIFFERENT VERT LENGTHS,</t>
  </si>
  <si>
    <t>VERTICAL BAR HEIGHT TO BE ACTUAL BAR LENGTH,</t>
  </si>
  <si>
    <t>SPREADSHEET CAN BE USED TO</t>
  </si>
  <si>
    <t>FOR COUPLED BARS , THE COUPLER WEIGHT IS ADDED  AND INCLUDED IN UDL FACTOR, TBC.?</t>
  </si>
  <si>
    <t>GIVE DIFFERENT SPANS FOR LIFTING BARS</t>
  </si>
  <si>
    <t>PROVIDED NEAR FACE AND FAR FACE ARE SAME HEIGHT</t>
  </si>
  <si>
    <t>THESE CAN BE COUPLER BAR AT TOP (CPL), STRAIGHT BAR (ST)</t>
  </si>
  <si>
    <t>IF FACE HEIGHTS DIFFER THEN SPAN FOR MAX VERT HEIGHT WILL BE USED</t>
  </si>
  <si>
    <t>OR SPLICE VERTICAL BAR (SP)</t>
  </si>
  <si>
    <t>SINGLE CAGE</t>
  </si>
  <si>
    <t>Min Bar Diameter</t>
  </si>
  <si>
    <t>Max Bar Diameter</t>
  </si>
  <si>
    <t xml:space="preserve">Number of Lacers F1/F3/F5, N1/N3/N5 </t>
  </si>
  <si>
    <t>Vert Bar Height F2/F4/F6 (m)</t>
  </si>
  <si>
    <t xml:space="preserve">SINGLE MESH - HORIZONTAL LIFTING DETAILS </t>
  </si>
  <si>
    <t>TEMPORARY BRACING BARS</t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</si>
  <si>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25 (VERT LP LACER &amp; HARD/SOFT ZONE LACER)</t>
    </r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</si>
  <si>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32 (VERT LP LACER &amp; HARD/SOFT ZONE LACER)</t>
    </r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</si>
  <si>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40 (VERT LP LACER &amp; HARD/SOFT ZONE LACER)</t>
    </r>
  </si>
  <si>
    <t>F1</t>
  </si>
  <si>
    <t>CAGE HEIGHT H:</t>
  </si>
  <si>
    <r>
      <rPr>
        <b/>
        <sz val="8"/>
        <color theme="1"/>
        <rFont val="Calibri"/>
        <family val="2"/>
      </rPr>
      <t xml:space="preserve">≤ </t>
    </r>
    <r>
      <rPr>
        <b/>
        <sz val="8"/>
        <color theme="1"/>
        <rFont val="Arial Narrow"/>
        <family val="2"/>
      </rPr>
      <t>4m</t>
    </r>
  </si>
  <si>
    <r>
      <t xml:space="preserve">4m </t>
    </r>
    <r>
      <rPr>
        <b/>
        <sz val="8"/>
        <color theme="1"/>
        <rFont val="Calibri"/>
        <family val="2"/>
      </rPr>
      <t>&lt; TO</t>
    </r>
    <r>
      <rPr>
        <b/>
        <sz val="8"/>
        <color theme="1"/>
        <rFont val="Arial Narrow"/>
        <family val="2"/>
      </rPr>
      <t xml:space="preserve"> ≤ 5m </t>
    </r>
  </si>
  <si>
    <r>
      <t xml:space="preserve">5m </t>
    </r>
    <r>
      <rPr>
        <b/>
        <sz val="8"/>
        <color theme="1"/>
        <rFont val="Calibri"/>
        <family val="2"/>
      </rPr>
      <t>&lt; TO</t>
    </r>
    <r>
      <rPr>
        <b/>
        <sz val="8"/>
        <color theme="1"/>
        <rFont val="Arial Narrow"/>
        <family val="2"/>
      </rPr>
      <t xml:space="preserve"> ≤ 6m </t>
    </r>
  </si>
  <si>
    <t>WALL WIDTH W (m)</t>
  </si>
  <si>
    <t>L-BAR (ømm)</t>
  </si>
  <si>
    <r>
      <t xml:space="preserve">VERT. Z-BAR </t>
    </r>
    <r>
      <rPr>
        <sz val="8"/>
        <color theme="1"/>
        <rFont val="Arial Narrow"/>
        <family val="2"/>
      </rPr>
      <t>(</t>
    </r>
    <r>
      <rPr>
        <b/>
        <sz val="8"/>
        <color theme="1"/>
        <rFont val="Arial Narrow"/>
        <family val="2"/>
      </rPr>
      <t>ømm)</t>
    </r>
  </si>
  <si>
    <t>PLAN Z-BAR (ømm)</t>
  </si>
  <si>
    <t>EVERY x No. of LIFTING POINTS / PLAN BRACE REQUIRED</t>
  </si>
  <si>
    <t>WALL HEIGHT HT:</t>
  </si>
  <si>
    <r>
      <rPr>
        <sz val="8"/>
        <color theme="1"/>
        <rFont val="Calibri"/>
        <family val="2"/>
      </rPr>
      <t xml:space="preserve">HT ≤ </t>
    </r>
    <r>
      <rPr>
        <sz val="8"/>
        <color theme="1"/>
        <rFont val="Arial Narrow"/>
        <family val="2"/>
      </rPr>
      <t>4m</t>
    </r>
  </si>
  <si>
    <r>
      <t xml:space="preserve">4m </t>
    </r>
    <r>
      <rPr>
        <sz val="8"/>
        <color theme="1"/>
        <rFont val="Calibri"/>
        <family val="2"/>
      </rPr>
      <t>&lt; HT</t>
    </r>
    <r>
      <rPr>
        <sz val="8"/>
        <color theme="1"/>
        <rFont val="Arial Narrow"/>
        <family val="2"/>
      </rPr>
      <t xml:space="preserve"> ≤ 5m </t>
    </r>
  </si>
  <si>
    <r>
      <t xml:space="preserve">5m </t>
    </r>
    <r>
      <rPr>
        <sz val="8"/>
        <color theme="1"/>
        <rFont val="Calibri"/>
        <family val="2"/>
      </rPr>
      <t>&lt; HT</t>
    </r>
    <r>
      <rPr>
        <sz val="8"/>
        <color theme="1"/>
        <rFont val="Arial Narrow"/>
        <family val="2"/>
      </rPr>
      <t xml:space="preserve"> ≤ 6m </t>
    </r>
  </si>
  <si>
    <t>F2</t>
  </si>
  <si>
    <t>VERTICAL BARS WITH TOP COUPLERS</t>
  </si>
  <si>
    <t>L1</t>
  </si>
  <si>
    <t>0.25 H</t>
  </si>
  <si>
    <t>UDL FACTOR = NON MESH WT/ MESH WT</t>
  </si>
  <si>
    <t>MAX. HORIZONTAL LIFT: LIFTING POINT SPACINGS = SP (m) (MAX. CANTILEVER CT= SP / 3)</t>
  </si>
  <si>
    <t>F3</t>
  </si>
  <si>
    <t>L2</t>
  </si>
  <si>
    <t>0.62 H</t>
  </si>
  <si>
    <t>F4</t>
  </si>
  <si>
    <t>VERTICAL BARS WITH SPLICE</t>
  </si>
  <si>
    <t>F5</t>
  </si>
  <si>
    <t>0.69 H</t>
  </si>
  <si>
    <t>F6</t>
  </si>
  <si>
    <t>N1</t>
  </si>
  <si>
    <t xml:space="preserve">DOUBLE MESH - HORIZONTAL LIFTING DETAILS </t>
  </si>
  <si>
    <t>DOUBLE CAGE</t>
  </si>
  <si>
    <t>1.0</t>
  </si>
  <si>
    <t>N2</t>
  </si>
  <si>
    <t>N3</t>
  </si>
  <si>
    <t>L3</t>
  </si>
  <si>
    <t>0.29 H</t>
  </si>
  <si>
    <t>N4</t>
  </si>
  <si>
    <t>L4</t>
  </si>
  <si>
    <t>0.65 H</t>
  </si>
  <si>
    <t>N5</t>
  </si>
  <si>
    <t>L3 (C40 VERTS)</t>
  </si>
  <si>
    <t>0.2 H</t>
  </si>
  <si>
    <t>N6</t>
  </si>
  <si>
    <t>L3 (C32 VERTS)</t>
  </si>
  <si>
    <t>0.22 H</t>
  </si>
  <si>
    <t>L3 (C25 VERTS)</t>
  </si>
  <si>
    <t>0.23 H</t>
  </si>
  <si>
    <t>UDL Factor</t>
  </si>
  <si>
    <t xml:space="preserve">TEMPORARY BRACING BARS </t>
  </si>
  <si>
    <t>L4 (C40 VERTS)</t>
  </si>
  <si>
    <t>0.49H</t>
  </si>
  <si>
    <t>U-BAR</t>
  </si>
  <si>
    <t xml:space="preserve">VERT Z - BAR </t>
  </si>
  <si>
    <t>PLAN Z-BAR</t>
  </si>
  <si>
    <t>EVERY x NO  OF LIFTING POINTS/ PLAN BRACE REQUIRED</t>
  </si>
  <si>
    <t>L4 (C32 VERTS)</t>
  </si>
  <si>
    <t>0.52H</t>
  </si>
  <si>
    <t>TRIPLE CAGE</t>
  </si>
  <si>
    <t>CONCRETE WALL WIDTH</t>
  </si>
  <si>
    <t>L4 (C25 VERTS)</t>
  </si>
  <si>
    <t>0.55H</t>
  </si>
  <si>
    <t>OK/ NOT OK</t>
  </si>
  <si>
    <t>`</t>
  </si>
  <si>
    <t xml:space="preserve">ANY WALL WIDTH CAN BE USED IE 0.5,0.8,1.1,1.5 &amp; 2.6m </t>
  </si>
  <si>
    <t xml:space="preserve">TRIPLE MESH - HORIZONTAL LIFTING DETAILS </t>
  </si>
  <si>
    <t>MAX LIFTING POINT SPAN</t>
  </si>
  <si>
    <t>ACTUAL UDL FACTOR</t>
  </si>
  <si>
    <t>IDEALLY TO HAVE  A MINIMUM OF 1 BRACE FOR</t>
  </si>
  <si>
    <t>SMALLER CAGES AND PREFERABLY MAX 3NO PLAN BRACES FOR LONGER CAGES</t>
  </si>
  <si>
    <t>MAX. HORIZONTAL LIFT: LIFTING POINT SPACINGS = SP (m) (MAX. CANTILEVER CT = SP / 3)</t>
  </si>
  <si>
    <t xml:space="preserve">THEREFORE FOR MAX (1-6) LIFTING POINTS USE 1 BRACE, FOR CAGES WITH MORE LIFTING POINTS, </t>
  </si>
  <si>
    <t xml:space="preserve">USE 2NO BRACES  FOR (7-18) LIFTING POINTS &amp; 3No BRACES FOR &gt; 19 LIFTING POINTS </t>
  </si>
  <si>
    <t xml:space="preserve">(DIVIDE NUMBER OF LIFTING POINTS/ NO OF BRACES (1-3) AND PUT ACTUAL NUMBER IN THIS BOX) </t>
  </si>
  <si>
    <t>ALWAYS ROUND UP TO NEXT NUMBER IN RANGE 1-6</t>
  </si>
  <si>
    <t>fy=</t>
  </si>
  <si>
    <r>
      <t>N/mm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</si>
  <si>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t>What the Calculation Is Intended to Do</t>
  </si>
  <si>
    <t>What the Formula is</t>
  </si>
  <si>
    <t>The actual calculation</t>
  </si>
  <si>
    <t>VERT BARS STRAIGHT/COUPLER (ST/CPL) OR SPLICE (SPL) FOR F2/F4/F6 etc</t>
  </si>
  <si>
    <t xml:space="preserve">FF1 NO OF LACERS </t>
  </si>
  <si>
    <t>FACTORY LACER COUNT</t>
  </si>
  <si>
    <t xml:space="preserve">Dia </t>
  </si>
  <si>
    <t>RIB DIA</t>
  </si>
  <si>
    <t>weight</t>
  </si>
  <si>
    <t>Area</t>
  </si>
  <si>
    <t xml:space="preserve">I </t>
  </si>
  <si>
    <t>EI</t>
  </si>
  <si>
    <t>Wel</t>
  </si>
  <si>
    <t>Wpl</t>
  </si>
  <si>
    <t>fy Wel</t>
  </si>
  <si>
    <t>fy Wpl</t>
  </si>
  <si>
    <t>PLASTIC/ 1.5</t>
  </si>
  <si>
    <t>LACER MAX DESIGN LIFT LOAD</t>
  </si>
  <si>
    <t>Bar Bending Radius</t>
  </si>
  <si>
    <t xml:space="preserve">FF3 NO OF LACERS </t>
  </si>
  <si>
    <t>ST/ CPL</t>
  </si>
  <si>
    <t>(mm)</t>
  </si>
  <si>
    <t>(kg/m)</t>
  </si>
  <si>
    <t>(mm2)</t>
  </si>
  <si>
    <t>(mm4)</t>
  </si>
  <si>
    <t>(kNm2)</t>
  </si>
  <si>
    <t>(mm3)</t>
  </si>
  <si>
    <t>(kNm)</t>
  </si>
  <si>
    <t>(kN)</t>
  </si>
  <si>
    <t>mm</t>
  </si>
  <si>
    <t xml:space="preserve">FF5 NO OF LACERS </t>
  </si>
  <si>
    <t xml:space="preserve">NF1 NO OF LACERS </t>
  </si>
  <si>
    <t xml:space="preserve">NF3 NO OF LACERS </t>
  </si>
  <si>
    <t xml:space="preserve">NF5 NO OF LACERS </t>
  </si>
  <si>
    <t>FAR FACE  1-2 LIFTING LACERS D UDL (1.2 DYN FACTOR) (kN/m)</t>
  </si>
  <si>
    <t>F1 x No of lacers= MAX mass/m x no x 1.35x1.2x9.81/1000  + F2 x ht = mass/m x ht x 1.35x1.2x9.82/ 1000x0.2</t>
  </si>
  <si>
    <t>FAR FACE  3-4 LIFTING LACERS D UDL (1.2 DYN FACTOR) (kN/m)</t>
  </si>
  <si>
    <t xml:space="preserve"> F3 DITTO</t>
  </si>
  <si>
    <t>FAR FACE  5-6 LIFTING LACERS D UDL (1.2 DYN FACTOR) (kN/m)</t>
  </si>
  <si>
    <t xml:space="preserve"> F5 DITTO</t>
  </si>
  <si>
    <t>FAR FACE 1-2 LIFTING LACERS D UDL (UDL FACTOR &amp; 1.3 DYN FACTOR) (kN/m)</t>
  </si>
  <si>
    <t>F1 x 1.3/1.2</t>
  </si>
  <si>
    <t>FAR FACE 3-4 LIFTING LACERS D UDL (UDL FACTOR &amp; 1.3 DYN FACTOR) (kN/m)</t>
  </si>
  <si>
    <t>F3 x 1.3/1.2</t>
  </si>
  <si>
    <t>FAR FACE 5-6 LIFTING LACERS D UDL (UDL FACTOR &amp; 1.3 DYN FACTOR) (kN/m)</t>
  </si>
  <si>
    <t>F5 x 1.3/1.3</t>
  </si>
  <si>
    <t>FAR FACE LIFTING LACERS D UDL (UDL FACTOR &amp; 1.3 DYN FACTOR) (kN/m)</t>
  </si>
  <si>
    <t>UDL (F1-F6)x(1 + udl factor)</t>
  </si>
  <si>
    <t>NEAR FACE  1-2 LIFTING LACERS D UDL (1.2 DYN FACTOR) (kN/m)</t>
  </si>
  <si>
    <t>N1 DITTO</t>
  </si>
  <si>
    <t>NEAR FACE  3-4 LIFTING LACERS D UDL (1.2 DYN FACTOR) (kN/m)</t>
  </si>
  <si>
    <t>N3 DITTO</t>
  </si>
  <si>
    <t>WALL WIDTH</t>
  </si>
  <si>
    <t>NEAR FACE  5-6 LIFTING LACERS D UDL (1.2 DYN FACTOR) (kN/m)</t>
  </si>
  <si>
    <t>N5 DITTO</t>
  </si>
  <si>
    <t>SPAN SPECIFIED</t>
  </si>
  <si>
    <t>NEAR FACE 1-2 LIFTING LACERS D UDL (UDL FACTOR &amp; 1.3 DYN FACTOR) (kN/m)</t>
  </si>
  <si>
    <t>N1 x 1.3/1.2</t>
  </si>
  <si>
    <t>NEAR FACE 3-4 LIFTING LACERS D UDL (UDL FACTOR &amp; 1.3 DYN FACTOR) (kN/m)</t>
  </si>
  <si>
    <t>N3 x 1.3/1.2</t>
  </si>
  <si>
    <t>NEAR FACE 5-6 LIFTING LACERS D UDL (UDL FACTOR &amp; 1.3 DYN FACTOR) (kN/m)</t>
  </si>
  <si>
    <t>N5 x 1.3/1.2</t>
  </si>
  <si>
    <t>NEAR FACE LIFTING LACERS D UDL (UDL FACTOR &amp; 1.3 DYN FACTOR) (kN/m)</t>
  </si>
  <si>
    <t>UDL (N1-N6)x(1 + udl factor)</t>
  </si>
  <si>
    <t>FAR FACE 1-2 LIFTING 2 LACERS D UDL (1.3 DYN FACTOR) (kN/m)</t>
  </si>
  <si>
    <t>UDL F1 -2 +(UDL F1-6)X udl factor</t>
  </si>
  <si>
    <t>NEAR FACE 1-2 LIFTING 2 LACERS D UDL ( 1.3 DYN FACTOR) (kN/m)</t>
  </si>
  <si>
    <t>UDL N1 -2 +(UDL F1-6)X udl factor</t>
  </si>
  <si>
    <t>rev 24/06/25</t>
  </si>
  <si>
    <t>FF 1-2MAX SPAN (m)</t>
  </si>
  <si>
    <r>
      <t xml:space="preserve">F1-F2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F1 MIN LACER x 2 LACERS x 8/ F1-2 D UDL)</t>
    </r>
  </si>
  <si>
    <t>FF 3-4MAX SPAN (m)</t>
  </si>
  <si>
    <r>
      <t xml:space="preserve">F1-F2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 LACERS x 8/ F1-2 D UDL)</t>
    </r>
  </si>
  <si>
    <t xml:space="preserve">FF 5-6MAX SPAN </t>
  </si>
  <si>
    <r>
      <t xml:space="preserve">F5-F6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2LACERS  x 8/ F1-2 D UDL)</t>
    </r>
  </si>
  <si>
    <t>FF MAX SPAN USED (m)</t>
  </si>
  <si>
    <t xml:space="preserve">MIN SPAN FOR F1-2, F3-4 &amp; F 5-6 </t>
  </si>
  <si>
    <t>NF 1-2 MAX SPAN (m)</t>
  </si>
  <si>
    <r>
      <t xml:space="preserve">N1-N2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N1 MIN LACER x 2 LACERS x 8/ F1-2 D UDL)</t>
    </r>
  </si>
  <si>
    <t>NF 3-4 MAX SPAN (m)</t>
  </si>
  <si>
    <r>
      <t xml:space="preserve">N3-N4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N3 MIN LACER x 2 LACERS x 8/ F1-2 D UDL)</t>
    </r>
  </si>
  <si>
    <t>NF 5-6 MAX SPAN (m)</t>
  </si>
  <si>
    <r>
      <t xml:space="preserve">N5-N6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N5 MIN LACER x 2 LACERS x 8/ F1-2 D UDL)</t>
    </r>
  </si>
  <si>
    <t>NF MAX SPAN USED (m)</t>
  </si>
  <si>
    <t>Min NF/FF Span</t>
  </si>
  <si>
    <t xml:space="preserve">MIN FOR FAR FACE AND NEAR FACE SPANS </t>
  </si>
  <si>
    <t>LIFTING SPAN SPECIFIED  (m)</t>
  </si>
  <si>
    <t>MIN SPAN ROUNDED DOWN TO NEREST 0.2m</t>
  </si>
  <si>
    <t>FF1 MAX SITE LIFTING LOAD  (kN)</t>
  </si>
  <si>
    <t>CALCULATE MAX SITE LIFTING LOAD FOR F1-F2, USE MAX F1-F2 DESIGN UDL (1.3DYN) x MIN SPAN X 1.1 (CONT)</t>
  </si>
  <si>
    <t>NF1 MAX SITE LIFTING LOAD   (kN)</t>
  </si>
  <si>
    <t>CALCULATE MAX SITE LIFTING LOAD FOR N1-N2, USE MAX N1-N2 DESIGN UDL (1.3DYN) x MIN SPAN X 1.1 (CONT)</t>
  </si>
  <si>
    <t>FF1/ NF1 MAX SITE DESIGN 1.3 FACTOR LIFTING LOAD   (kN)</t>
  </si>
  <si>
    <t xml:space="preserve">CONFIRM MAX LIFTED LOAD &lt; C32/C40 &lt;138.9kN, C25&lt;119.1kN,C20&lt;79.4kN). </t>
  </si>
  <si>
    <t xml:space="preserve">NO OF MESHES IN BOTH FACES </t>
  </si>
  <si>
    <t>COUNT NUMBER OF MESHES IN BOTH FACES, TO BE USED IN SPACER CALCULATIONS BELOW</t>
  </si>
  <si>
    <t>MAX GAP BETWEEN NEAREST VERTS  (mm)</t>
  </si>
  <si>
    <t>MAX GAP CALCULATED ASSUMING 60mm COVER EACH FACE PLUS 19mm FOR C16 SHEAR LINKS &amp; A NOMINAL 8mm SPACER BETWEEN EACH MESH</t>
  </si>
  <si>
    <t>MIN GAP BETWEEN NEAREST VERTS  (mm)</t>
  </si>
  <si>
    <t>MIN GAP CALCULATED ASSUMING 60mm COVER EACH FACE PLUS 19mm FOR C16 SHEAR LINKS &amp; A NOMINAL 42mm SPACER BETWEEN EACH MESH</t>
  </si>
  <si>
    <t>U BAR SIZE</t>
  </si>
  <si>
    <t>SELECT A U BAR SIZE AND CHECK IF IT IS SUITABLE FOR THE APPLIED LOAD.</t>
  </si>
  <si>
    <t xml:space="preserve">FACTORY VERTICAL LEG HEIGHT </t>
  </si>
  <si>
    <r>
      <t>V =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>(</t>
    </r>
    <r>
      <rPr>
        <sz val="10"/>
        <color theme="1"/>
        <rFont val="Calibri"/>
        <family val="2"/>
        <scheme val="minor"/>
      </rPr>
      <t xml:space="preserve"> 3^2-(MAX GAP/2)^2)</t>
    </r>
  </si>
  <si>
    <t xml:space="preserve">SITE VERTICAL LEG HEIGHT </t>
  </si>
  <si>
    <r>
      <t>U-BAR FACTORY LOAD 1.2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</si>
  <si>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t>U-BAR LOAD IS CALCULATED = MAX LEG LOAD X ((MAX GAP/2)/ VERT LEG HEIGHT)</t>
  </si>
  <si>
    <r>
      <t>U-BAR SITE LOAD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</si>
  <si>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t>MAX STRUT SPAN Lcry (m)</t>
  </si>
  <si>
    <t>MAX GAP BETWEEN VERTS -( U BAR RIB SIZE + BENDING RADIUS) X2</t>
  </si>
  <si>
    <t>Ncr= π2EI/L2cry (kN)</t>
  </si>
  <si>
    <r>
      <t xml:space="preserve">Ncr calculation = </t>
    </r>
    <r>
      <rPr>
        <sz val="10"/>
        <color theme="1"/>
        <rFont val="GreekC"/>
      </rPr>
      <t>p</t>
    </r>
    <r>
      <rPr>
        <sz val="8.5"/>
        <color theme="1"/>
        <rFont val="Calibri"/>
        <family val="2"/>
      </rPr>
      <t>^2 x EI/ Lcry^2</t>
    </r>
  </si>
  <si>
    <r>
      <t>λ</t>
    </r>
    <r>
      <rPr>
        <b/>
        <vertAlign val="superscript"/>
        <sz val="11"/>
        <color rgb="FF000000"/>
        <rFont val="Calibri"/>
        <family val="2"/>
        <scheme val="minor"/>
      </rPr>
      <t>-</t>
    </r>
    <r>
      <rPr>
        <b/>
        <sz val="11"/>
        <color indexed="8"/>
        <rFont val="Calibri"/>
        <family val="2"/>
        <scheme val="minor"/>
      </rPr>
      <t xml:space="preserve"> =√(Axfy/Ncr) </t>
    </r>
  </si>
  <si>
    <t xml:space="preserve">λ- =√(Axfy/Ncr) </t>
  </si>
  <si>
    <t>Ø= 0.5x[1+α(λ--0.2)+λ-2 ]</t>
  </si>
  <si>
    <r>
      <t>Ø= 0.5x[1+α(λ</t>
    </r>
    <r>
      <rPr>
        <vertAlign val="superscript"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-0.2)+λ-2 ]</t>
    </r>
  </si>
  <si>
    <t>χ=1/[Ø+√(Ø2-λ-2 )]</t>
  </si>
  <si>
    <t>Nbrd = χxAfy/gm1 (kN)</t>
  </si>
  <si>
    <t>Check NEd/Nbrd</t>
  </si>
  <si>
    <t>Check NEd/Nbrd &lt; 1.0</t>
  </si>
  <si>
    <t>Bending Strut length (m)</t>
  </si>
  <si>
    <t>STRAIGHT STRUT + RIB SIZE + BENDING RADIUS</t>
  </si>
  <si>
    <t>2.5%  MEd  (kN)</t>
  </si>
  <si>
    <t>2.5% Ned x bending strut length</t>
  </si>
  <si>
    <t>Check MEd/MRd</t>
  </si>
  <si>
    <t>Check MEd/MRd (Plastic Moment capacity/1.5)</t>
  </si>
  <si>
    <t>Ned/Nbrd+MEd/MRd</t>
  </si>
  <si>
    <t xml:space="preserve"> CHECK &lt; 1.0 OK</t>
  </si>
  <si>
    <t>VERTICAL BRACE SIZE</t>
  </si>
  <si>
    <t>SELECT A V BRACE BAR SIZE AND CHECK IF IT IS SUITABLE FOR THE APPLIED LOAD.</t>
  </si>
  <si>
    <r>
      <t>VERTICAL BRACE LOAD 2.5%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 (kN)</t>
    </r>
  </si>
  <si>
    <r>
      <t xml:space="preserve">BRACE LOAD = 2.5% OF VERT LIFT LOAD X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(BRACE AT 45</t>
    </r>
    <r>
      <rPr>
        <sz val="9.35"/>
        <color theme="1"/>
        <rFont val="GreekC"/>
      </rPr>
      <t>°</t>
    </r>
    <r>
      <rPr>
        <sz val="7.95"/>
        <color theme="1"/>
        <rFont val="Calibri"/>
        <family val="2"/>
      </rPr>
      <t xml:space="preserve"> TO VERTICAL)</t>
    </r>
  </si>
  <si>
    <r>
      <t xml:space="preserve">STRAIGHT STRUT LENGTH =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X MAX VERT GAP - 2 (RIB + BAR BEND RADIUS)</t>
    </r>
  </si>
  <si>
    <t>2.5% MEd  (kN)</t>
  </si>
  <si>
    <t>PLAN BRACE SIZE</t>
  </si>
  <si>
    <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</si>
  <si>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t>Single</t>
  </si>
  <si>
    <t>Yes</t>
  </si>
  <si>
    <t>Double</t>
  </si>
  <si>
    <t>No</t>
  </si>
  <si>
    <t>Triple</t>
  </si>
  <si>
    <t>SPL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</si>
</sst>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&quot;m&quot;"/>
    <numFmt numFmtId="166" formatCode="0.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vertAlign val="superscript"/>
      <sz val="11"/>
      <color rgb="FF000000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sz val="11"/>
      <color theme="1"/>
      <name val="Arial"/>
      <family val="2"/>
    </font>
    <font>
      <b/>
      <vertAlign val="subscript"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.5"/>
      <color theme="1"/>
      <name val="Calibri"/>
      <family val="2"/>
    </font>
    <font>
      <sz val="10"/>
      <name val="Calibri"/>
      <family val="2"/>
      <scheme val="minor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12"/>
      <color theme="1"/>
      <name val="Arial Narrow"/>
      <family val="2"/>
    </font>
    <font>
      <sz val="8"/>
      <color theme="1"/>
      <name val="Calibri"/>
      <family val="2"/>
    </font>
    <font>
      <sz val="10"/>
      <color theme="1"/>
      <name val="GreekC"/>
    </font>
    <font>
      <vertAlign val="superscript"/>
      <sz val="11"/>
      <color theme="1"/>
      <name val="Calibri"/>
      <family val="2"/>
      <scheme val="minor"/>
    </font>
    <font>
      <sz val="9.35"/>
      <color theme="1"/>
      <name val="Calibri"/>
      <family val="2"/>
    </font>
    <font>
      <sz val="9.35"/>
      <color theme="1"/>
      <name val="GreekC"/>
    </font>
    <font>
      <sz val="7.95"/>
      <color theme="1"/>
      <name val="Calibri"/>
      <family val="2"/>
    </font>
    <font>
      <b/>
      <sz val="8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3">
    <xf numFmtId="0" fontId="0" fillId="0" borderId="0" xfId="0"/>
    <xf numFmtId="0" fontId="1" fillId="0" borderId="0" xfId="1" applyAlignment="1">
      <alignment horizontal="center"/>
    </xf>
    <xf numFmtId="0" fontId="1" fillId="0" borderId="0" xfId="1" applyAlignment="1" applyProtection="1">
      <alignment horizontal="center" wrapText="1"/>
      <protection locked="0"/>
    </xf>
    <xf numFmtId="0" fontId="1" fillId="0" borderId="0" xfId="1" applyAlignment="1" applyProtection="1">
      <alignment horizontal="center"/>
      <protection locked="0"/>
    </xf>
    <xf numFmtId="0" fontId="0" fillId="0" borderId="2" xfId="0" applyBorder="1"/>
    <xf numFmtId="0" fontId="0" fillId="7" borderId="6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 applyAlignment="1">
      <alignment horizontal="center"/>
    </xf>
    <xf numFmtId="165" fontId="10" fillId="6" borderId="25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6" xfId="0" applyFill="1" applyBorder="1"/>
    <xf numFmtId="0" fontId="0" fillId="8" borderId="7" xfId="0" applyFill="1" applyBorder="1"/>
    <xf numFmtId="0" fontId="0" fillId="8" borderId="5" xfId="0" applyFill="1" applyBorder="1"/>
    <xf numFmtId="0" fontId="0" fillId="0" borderId="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8" borderId="2" xfId="0" applyFill="1" applyBorder="1"/>
    <xf numFmtId="0" fontId="0" fillId="7" borderId="2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5" fillId="0" borderId="0" xfId="0" applyFont="1"/>
    <xf numFmtId="0" fontId="16" fillId="0" borderId="26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6" fillId="9" borderId="25" xfId="0" applyFont="1" applyFill="1" applyBorder="1" applyAlignment="1">
      <alignment horizontal="center" vertical="center" wrapText="1"/>
    </xf>
    <xf numFmtId="0" fontId="15" fillId="0" borderId="29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166" fontId="15" fillId="0" borderId="30" xfId="0" applyNumberFormat="1" applyFont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49" fontId="15" fillId="0" borderId="30" xfId="0" applyNumberFormat="1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2" fontId="15" fillId="3" borderId="18" xfId="0" applyNumberFormat="1" applyFont="1" applyFill="1" applyBorder="1" applyAlignment="1">
      <alignment horizontal="left" indent="1"/>
    </xf>
    <xf numFmtId="2" fontId="15" fillId="3" borderId="33" xfId="0" applyNumberFormat="1" applyFont="1" applyFill="1" applyBorder="1" applyAlignment="1">
      <alignment horizontal="left" indent="1"/>
    </xf>
    <xf numFmtId="2" fontId="15" fillId="3" borderId="11" xfId="0" applyNumberFormat="1" applyFont="1" applyFill="1" applyBorder="1" applyAlignment="1">
      <alignment horizontal="left" indent="1"/>
    </xf>
    <xf numFmtId="2" fontId="15" fillId="3" borderId="1" xfId="0" applyNumberFormat="1" applyFont="1" applyFill="1" applyBorder="1" applyAlignment="1">
      <alignment horizontal="left" indent="1"/>
    </xf>
    <xf numFmtId="2" fontId="15" fillId="3" borderId="12" xfId="0" applyNumberFormat="1" applyFont="1" applyFill="1" applyBorder="1" applyAlignment="1">
      <alignment horizontal="left" indent="1"/>
    </xf>
    <xf numFmtId="2" fontId="15" fillId="3" borderId="15" xfId="0" applyNumberFormat="1" applyFont="1" applyFill="1" applyBorder="1" applyAlignment="1">
      <alignment horizontal="left" indent="1"/>
    </xf>
    <xf numFmtId="2" fontId="15" fillId="3" borderId="10" xfId="0" applyNumberFormat="1" applyFont="1" applyFill="1" applyBorder="1" applyAlignment="1">
      <alignment horizontal="left" indent="1"/>
    </xf>
    <xf numFmtId="2" fontId="15" fillId="3" borderId="13" xfId="0" applyNumberFormat="1" applyFont="1" applyFill="1" applyBorder="1" applyAlignment="1">
      <alignment horizontal="left" indent="1"/>
    </xf>
    <xf numFmtId="2" fontId="15" fillId="3" borderId="14" xfId="0" applyNumberFormat="1" applyFont="1" applyFill="1" applyBorder="1" applyAlignment="1">
      <alignment horizontal="left" indent="1"/>
    </xf>
    <xf numFmtId="2" fontId="15" fillId="3" borderId="17" xfId="0" applyNumberFormat="1" applyFont="1" applyFill="1" applyBorder="1" applyAlignment="1">
      <alignment horizontal="left" indent="1"/>
    </xf>
    <xf numFmtId="2" fontId="15" fillId="3" borderId="32" xfId="0" applyNumberFormat="1" applyFont="1" applyFill="1" applyBorder="1" applyAlignment="1">
      <alignment horizontal="left" indent="1"/>
    </xf>
    <xf numFmtId="2" fontId="15" fillId="3" borderId="21" xfId="0" applyNumberFormat="1" applyFont="1" applyFill="1" applyBorder="1" applyAlignment="1">
      <alignment horizontal="left" indent="1"/>
    </xf>
    <xf numFmtId="2" fontId="15" fillId="3" borderId="13" xfId="0" applyNumberFormat="1" applyFont="1" applyFill="1" applyBorder="1" applyAlignment="1">
      <alignment horizontal="center" vertical="center"/>
    </xf>
    <xf numFmtId="2" fontId="15" fillId="3" borderId="21" xfId="0" applyNumberFormat="1" applyFont="1" applyFill="1" applyBorder="1" applyAlignment="1">
      <alignment horizontal="center" vertical="center"/>
    </xf>
    <xf numFmtId="2" fontId="15" fillId="3" borderId="10" xfId="0" applyNumberFormat="1" applyFont="1" applyFill="1" applyBorder="1" applyAlignment="1">
      <alignment horizontal="center" vertical="center"/>
    </xf>
    <xf numFmtId="2" fontId="15" fillId="3" borderId="18" xfId="0" applyNumberFormat="1" applyFont="1" applyFill="1" applyBorder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2" fontId="15" fillId="3" borderId="12" xfId="0" applyNumberFormat="1" applyFont="1" applyFill="1" applyBorder="1" applyAlignment="1">
      <alignment horizontal="center" vertical="center"/>
    </xf>
    <xf numFmtId="2" fontId="15" fillId="3" borderId="14" xfId="0" applyNumberFormat="1" applyFont="1" applyFill="1" applyBorder="1" applyAlignment="1">
      <alignment horizontal="center" vertical="center"/>
    </xf>
    <xf numFmtId="2" fontId="15" fillId="3" borderId="17" xfId="0" applyNumberFormat="1" applyFont="1" applyFill="1" applyBorder="1" applyAlignment="1">
      <alignment horizontal="center" vertical="center"/>
    </xf>
    <xf numFmtId="2" fontId="15" fillId="3" borderId="32" xfId="0" applyNumberFormat="1" applyFont="1" applyFill="1" applyBorder="1" applyAlignment="1">
      <alignment horizontal="center" vertical="center"/>
    </xf>
    <xf numFmtId="2" fontId="15" fillId="3" borderId="33" xfId="0" applyNumberFormat="1" applyFont="1" applyFill="1" applyBorder="1" applyAlignment="1">
      <alignment horizontal="center" vertical="center"/>
    </xf>
    <xf numFmtId="2" fontId="15" fillId="3" borderId="11" xfId="0" applyNumberFormat="1" applyFont="1" applyFill="1" applyBorder="1" applyAlignment="1">
      <alignment horizontal="center" vertical="center"/>
    </xf>
    <xf numFmtId="2" fontId="15" fillId="3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5" fillId="0" borderId="9" xfId="0" applyFont="1" applyBorder="1"/>
    <xf numFmtId="0" fontId="16" fillId="9" borderId="23" xfId="0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6" fillId="9" borderId="10" xfId="0" applyFont="1" applyFill="1" applyBorder="1" applyAlignment="1">
      <alignment horizontal="center" vertical="center" wrapText="1"/>
    </xf>
    <xf numFmtId="0" fontId="0" fillId="8" borderId="25" xfId="0" applyFill="1" applyBorder="1"/>
    <xf numFmtId="0" fontId="0" fillId="8" borderId="28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8" borderId="25" xfId="0" applyFill="1" applyBorder="1" applyAlignment="1">
      <alignment horizontal="center"/>
    </xf>
    <xf numFmtId="0" fontId="0" fillId="3" borderId="25" xfId="0" applyFill="1" applyBorder="1"/>
    <xf numFmtId="0" fontId="15" fillId="3" borderId="33" xfId="0" applyFont="1" applyFill="1" applyBorder="1" applyAlignment="1">
      <alignment horizontal="center"/>
    </xf>
    <xf numFmtId="1" fontId="15" fillId="3" borderId="1" xfId="0" applyNumberFormat="1" applyFont="1" applyFill="1" applyBorder="1" applyAlignment="1">
      <alignment horizontal="left" indent="1"/>
    </xf>
    <xf numFmtId="0" fontId="15" fillId="3" borderId="10" xfId="0" applyFont="1" applyFill="1" applyBorder="1" applyAlignment="1">
      <alignment horizontal="left" indent="1"/>
    </xf>
    <xf numFmtId="0" fontId="15" fillId="3" borderId="11" xfId="0" applyFont="1" applyFill="1" applyBorder="1" applyAlignment="1">
      <alignment horizontal="center"/>
    </xf>
    <xf numFmtId="1" fontId="15" fillId="3" borderId="12" xfId="0" applyNumberFormat="1" applyFont="1" applyFill="1" applyBorder="1" applyAlignment="1">
      <alignment horizontal="left" indent="1"/>
    </xf>
    <xf numFmtId="0" fontId="15" fillId="3" borderId="13" xfId="0" applyFont="1" applyFill="1" applyBorder="1" applyAlignment="1">
      <alignment horizontal="left" indent="1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left" indent="1"/>
    </xf>
    <xf numFmtId="0" fontId="15" fillId="0" borderId="0" xfId="0" applyFont="1" applyAlignment="1">
      <alignment horizontal="left" indent="1"/>
    </xf>
    <xf numFmtId="0" fontId="0" fillId="0" borderId="0" xfId="0" applyAlignment="1">
      <alignment horizontal="center" vertical="center" wrapText="1"/>
    </xf>
    <xf numFmtId="0" fontId="15" fillId="0" borderId="8" xfId="0" applyFont="1" applyBorder="1"/>
    <xf numFmtId="0" fontId="16" fillId="0" borderId="2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5" fillId="3" borderId="35" xfId="0" applyFont="1" applyFill="1" applyBorder="1" applyAlignment="1">
      <alignment horizontal="center" vertical="center"/>
    </xf>
    <xf numFmtId="2" fontId="15" fillId="3" borderId="35" xfId="0" applyNumberFormat="1" applyFont="1" applyFill="1" applyBorder="1" applyAlignment="1">
      <alignment horizontal="left" vertical="center" indent="1"/>
    </xf>
    <xf numFmtId="0" fontId="15" fillId="3" borderId="31" xfId="0" applyFont="1" applyFill="1" applyBorder="1" applyAlignment="1">
      <alignment horizontal="center" vertical="center"/>
    </xf>
    <xf numFmtId="2" fontId="15" fillId="3" borderId="31" xfId="0" applyNumberFormat="1" applyFont="1" applyFill="1" applyBorder="1" applyAlignment="1">
      <alignment horizontal="left" vertical="center" indent="1"/>
    </xf>
    <xf numFmtId="0" fontId="15" fillId="3" borderId="29" xfId="0" applyFont="1" applyFill="1" applyBorder="1" applyAlignment="1">
      <alignment horizontal="center" vertical="center"/>
    </xf>
    <xf numFmtId="2" fontId="15" fillId="3" borderId="29" xfId="0" applyNumberFormat="1" applyFont="1" applyFill="1" applyBorder="1" applyAlignment="1">
      <alignment horizontal="left" vertical="center" indent="1"/>
    </xf>
    <xf numFmtId="0" fontId="15" fillId="0" borderId="0" xfId="0" applyFont="1" applyAlignment="1">
      <alignment horizontal="center" vertical="center" wrapText="1"/>
    </xf>
    <xf numFmtId="2" fontId="15" fillId="0" borderId="0" xfId="0" applyNumberFormat="1" applyFont="1" applyAlignment="1">
      <alignment horizontal="left" vertical="center"/>
    </xf>
    <xf numFmtId="2" fontId="15" fillId="3" borderId="35" xfId="0" applyNumberFormat="1" applyFont="1" applyFill="1" applyBorder="1" applyAlignment="1">
      <alignment horizontal="left" vertical="center"/>
    </xf>
    <xf numFmtId="2" fontId="15" fillId="3" borderId="31" xfId="0" applyNumberFormat="1" applyFont="1" applyFill="1" applyBorder="1" applyAlignment="1">
      <alignment horizontal="left" vertical="center"/>
    </xf>
    <xf numFmtId="0" fontId="15" fillId="3" borderId="29" xfId="0" applyFont="1" applyFill="1" applyBorder="1" applyAlignment="1">
      <alignment horizontal="center" vertical="center" wrapText="1"/>
    </xf>
    <xf numFmtId="2" fontId="15" fillId="3" borderId="29" xfId="0" applyNumberFormat="1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 wrapText="1"/>
    </xf>
    <xf numFmtId="0" fontId="0" fillId="7" borderId="25" xfId="0" applyFill="1" applyBorder="1" applyAlignment="1">
      <alignment horizontal="center" vertical="center" wrapText="1"/>
    </xf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0" fillId="2" borderId="0" xfId="0" applyFill="1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8" borderId="34" xfId="0" applyFill="1" applyBorder="1" applyAlignment="1">
      <alignment horizontal="center" wrapText="1"/>
    </xf>
    <xf numFmtId="0" fontId="0" fillId="8" borderId="24" xfId="0" applyFill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1" xfId="0" applyBorder="1"/>
    <xf numFmtId="0" fontId="2" fillId="3" borderId="0" xfId="1" applyFont="1" applyFill="1" applyAlignment="1">
      <alignment horizontal="center" wrapText="1"/>
    </xf>
    <xf numFmtId="0" fontId="11" fillId="3" borderId="0" xfId="0" applyFont="1" applyFill="1"/>
    <xf numFmtId="0" fontId="0" fillId="3" borderId="0" xfId="0" applyFill="1" applyAlignment="1">
      <alignment horizontal="center" vertical="center"/>
    </xf>
    <xf numFmtId="0" fontId="0" fillId="7" borderId="3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4" fillId="2" borderId="0" xfId="1" applyFont="1" applyFill="1" applyAlignment="1">
      <alignment wrapText="1"/>
    </xf>
    <xf numFmtId="0" fontId="11" fillId="2" borderId="0" xfId="0" applyFont="1" applyFill="1" applyAlignment="1">
      <alignment horizontal="center" wrapText="1"/>
    </xf>
    <xf numFmtId="2" fontId="0" fillId="2" borderId="0" xfId="0" applyNumberFormat="1" applyFill="1" applyAlignment="1">
      <alignment horizontal="center" vertical="center"/>
    </xf>
    <xf numFmtId="0" fontId="11" fillId="2" borderId="0" xfId="0" applyFont="1" applyFill="1"/>
    <xf numFmtId="0" fontId="4" fillId="3" borderId="0" xfId="1" applyFont="1" applyFill="1" applyAlignment="1">
      <alignment wrapText="1"/>
    </xf>
    <xf numFmtId="2" fontId="0" fillId="3" borderId="0" xfId="0" applyNumberFormat="1" applyFill="1" applyAlignment="1">
      <alignment horizontal="center" vertic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4" fillId="4" borderId="0" xfId="1" applyFont="1" applyFill="1" applyAlignment="1">
      <alignment wrapText="1"/>
    </xf>
    <xf numFmtId="0" fontId="11" fillId="4" borderId="0" xfId="0" applyFont="1" applyFill="1"/>
    <xf numFmtId="166" fontId="0" fillId="4" borderId="0" xfId="0" applyNumberFormat="1" applyFill="1" applyAlignment="1">
      <alignment horizontal="center" vertical="center"/>
    </xf>
    <xf numFmtId="0" fontId="0" fillId="8" borderId="25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/>
    </xf>
    <xf numFmtId="0" fontId="11" fillId="3" borderId="0" xfId="0" applyFont="1" applyFill="1" applyAlignment="1">
      <alignment horizontal="center" wrapText="1"/>
    </xf>
    <xf numFmtId="0" fontId="4" fillId="3" borderId="0" xfId="1" applyFont="1" applyFill="1" applyAlignment="1">
      <alignment horizontal="center" vertical="center" wrapText="1"/>
    </xf>
    <xf numFmtId="0" fontId="4" fillId="4" borderId="0" xfId="1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0" fontId="4" fillId="3" borderId="0" xfId="1" applyFont="1" applyFill="1" applyAlignment="1">
      <alignment horizontal="center" wrapText="1"/>
    </xf>
    <xf numFmtId="0" fontId="4" fillId="4" borderId="0" xfId="1" applyFont="1" applyFill="1" applyAlignment="1">
      <alignment horizontal="center" wrapText="1"/>
    </xf>
    <xf numFmtId="164" fontId="0" fillId="4" borderId="0" xfId="0" applyNumberFormat="1" applyFill="1" applyAlignment="1">
      <alignment horizontal="center" vertical="center"/>
    </xf>
    <xf numFmtId="0" fontId="14" fillId="4" borderId="0" xfId="0" applyFont="1" applyFill="1" applyAlignment="1">
      <alignment wrapText="1"/>
    </xf>
    <xf numFmtId="0" fontId="4" fillId="5" borderId="22" xfId="1" applyFont="1" applyFill="1" applyBorder="1" applyAlignment="1">
      <alignment horizontal="center" wrapText="1"/>
    </xf>
    <xf numFmtId="0" fontId="1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1" fillId="3" borderId="0" xfId="0" applyFont="1" applyFill="1" applyAlignment="1">
      <alignment wrapText="1"/>
    </xf>
    <xf numFmtId="166" fontId="0" fillId="3" borderId="0" xfId="0" applyNumberFormat="1" applyFill="1" applyAlignment="1">
      <alignment horizontal="center" vertical="center"/>
    </xf>
    <xf numFmtId="0" fontId="4" fillId="0" borderId="0" xfId="1" applyFont="1" applyAlignment="1">
      <alignment horizontal="center" wrapText="1"/>
    </xf>
    <xf numFmtId="0" fontId="11" fillId="0" borderId="0" xfId="0" applyFont="1" applyAlignment="1">
      <alignment wrapText="1"/>
    </xf>
    <xf numFmtId="0" fontId="11" fillId="0" borderId="0" xfId="0" applyFont="1"/>
    <xf numFmtId="164" fontId="0" fillId="2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wrapText="1"/>
    </xf>
    <xf numFmtId="0" fontId="2" fillId="3" borderId="0" xfId="1" applyFont="1" applyFill="1" applyAlignment="1">
      <alignment horizontal="center" vertical="center" wrapText="1"/>
    </xf>
    <xf numFmtId="0" fontId="2" fillId="0" borderId="0" xfId="1" applyFont="1" applyAlignment="1">
      <alignment horizontal="center" wrapText="1"/>
    </xf>
    <xf numFmtId="0" fontId="1" fillId="0" borderId="0" xfId="1"/>
    <xf numFmtId="0" fontId="0" fillId="7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16" fillId="9" borderId="25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9" borderId="3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25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6" fillId="9" borderId="16" xfId="0" applyFont="1" applyFill="1" applyBorder="1" applyAlignment="1">
      <alignment horizontal="center" vertical="center"/>
    </xf>
    <xf numFmtId="0" fontId="16" fillId="9" borderId="34" xfId="0" applyFont="1" applyFill="1" applyBorder="1" applyAlignment="1">
      <alignment horizontal="center" vertical="center"/>
    </xf>
    <xf numFmtId="0" fontId="16" fillId="9" borderId="24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69199632-6076-45D2-8D1B-FDEEAABA1176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b789bff8-5d75-4732-b913-1a48a9c70a79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661358</xdr:colOff>
      <xdr:row>11</xdr:row>
      <xdr:rowOff>28754</xdr:rowOff>
    </xdr:from>
    <xdr:to>
      <xdr:col>5</xdr:col>
      <xdr:colOff>1399396</xdr:colOff>
      <xdr:row>17</xdr:row>
      <xdr:rowOff>172528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E68676-599A-35BE-9419-FE176787BF22}"/>
            </a:ext>
          </a:extLst>
        </xdr:cNvPr>
        <xdr:cNvCxnSpPr/>
      </xdr:nvCxnSpPr>
      <xdr:spPr>
        <a:xfrm flipH="1">
          <a:off x="7179094" y="575094"/>
          <a:ext cx="738038" cy="123645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1092680</xdr:colOff>
      <xdr:row>12</xdr:row>
      <xdr:rowOff>67094</xdr:rowOff>
    </xdr:from>
    <xdr:to>
      <xdr:col>5</xdr:col>
      <xdr:colOff>450490</xdr:colOff>
      <xdr:row>17</xdr:row>
      <xdr:rowOff>162943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5FE3498F-C334-41A2-BCB6-15A89764575C}"/>
            </a:ext>
          </a:extLst>
        </xdr:cNvPr>
        <xdr:cNvCxnSpPr/>
      </xdr:nvCxnSpPr>
      <xdr:spPr>
        <a:xfrm>
          <a:off x="5099171" y="795547"/>
          <a:ext cx="1869055" cy="100641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765594</xdr:colOff>
      <xdr:row>35</xdr:row>
      <xdr:rowOff>53915</xdr:rowOff>
    </xdr:from>
    <xdr:to>
      <xdr:col>6</xdr:col>
      <xdr:colOff>916557</xdr:colOff>
      <xdr:row>40</xdr:row>
      <xdr:rowOff>118613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36DAF4D-6F98-4EF9-B9BA-07D0769982F3}"/>
            </a:ext>
          </a:extLst>
        </xdr:cNvPr>
        <xdr:cNvCxnSpPr/>
      </xdr:nvCxnSpPr>
      <xdr:spPr>
        <a:xfrm flipH="1" flipV="1">
          <a:off x="8777377" y="10890849"/>
          <a:ext cx="150963" cy="235069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776377</xdr:colOff>
      <xdr:row>34</xdr:row>
      <xdr:rowOff>124604</xdr:rowOff>
    </xdr:from>
    <xdr:to>
      <xdr:col>5</xdr:col>
      <xdr:colOff>47924</xdr:colOff>
      <xdr:row>37</xdr:row>
      <xdr:rowOff>95849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88D0FFF-286F-4419-8104-17D972588A18}"/>
            </a:ext>
          </a:extLst>
        </xdr:cNvPr>
        <xdr:cNvCxnSpPr/>
      </xdr:nvCxnSpPr>
      <xdr:spPr>
        <a:xfrm flipH="1" flipV="1">
          <a:off x="3527245" y="7447472"/>
          <a:ext cx="3038415" cy="98724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1341887</xdr:colOff>
      <xdr:row>33</xdr:row>
      <xdr:rowOff>9585</xdr:rowOff>
    </xdr:from>
    <xdr:to>
      <xdr:col>2</xdr:col>
      <xdr:colOff>460075</xdr:colOff>
      <xdr:row>40</xdr:row>
      <xdr:rowOff>249207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C96D4AF-FBAC-4FDF-8085-03CD4AA3CE94}"/>
            </a:ext>
          </a:extLst>
        </xdr:cNvPr>
        <xdr:cNvCxnSpPr/>
      </xdr:nvCxnSpPr>
      <xdr:spPr>
        <a:xfrm flipV="1">
          <a:off x="1543170" y="6805283"/>
          <a:ext cx="1667773" cy="2386641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1067520</xdr:colOff>
      <xdr:row>5</xdr:row>
      <xdr:rowOff>21566</xdr:rowOff>
    </xdr:from>
    <xdr:to>
      <xdr:col>1</xdr:col>
      <xdr:colOff>1952115</xdr:colOff>
      <xdr:row>7</xdr:row>
      <xdr:rowOff>11056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BBBFA33-A1C3-1FDD-D726-9453155F5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1614" y="959689"/>
          <a:ext cx="881420" cy="341870"/>
        </a:xfrm>
        <a:prstGeom prst="rect">
          <a:avLst/>
        </a:prstGeom>
      </xdr:spPr>
    </xdr:pic>
    <xdr:clientData/>
  </xdr:twoCellAnchor>
  <xdr:twoCellAnchor>
    <xdr:from>
      <xdr:col>1</xdr:col>
      <xdr:colOff>1110651</xdr:colOff>
      <xdr:row>7</xdr:row>
      <xdr:rowOff>-1</xdr:rowOff>
    </xdr:from>
    <xdr:to>
      <xdr:col>1</xdr:col>
      <xdr:colOff>2025051</xdr:colOff>
      <xdr:row>8</xdr:row>
      <xdr:rowOff>103517</xdr:rowOff>
    </xdr:to>
    <xdr:pic>
      <xdr:nvPicPr>
        <xdr:cNvPr id="9" name="image_0">
          <a:extLst>
            <a:ext uri="{FF2B5EF4-FFF2-40B4-BE49-F238E27FC236}">
              <a16:creationId xmlns:a16="http://schemas.microsoft.com/office/drawing/2014/main" id="{FB9C50B5-E243-1705-D172-AA706FDD44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745" y="1293962"/>
          <a:ext cx="914400" cy="2868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Avonmouth/Pour%20ID%20-%20EDR%20-%20Programme%20-%20Analysis%2023.11.23.xlsx?449B58B9" TargetMode="External"/><Relationship Id="rId1" Type="http://schemas.openxmlformats.org/officeDocument/2006/relationships/externalLinkPath" Target="file:///\\449B58B9\Pour%20ID%20-%20EDR%20-%20Programme%20-%20Analysis%2023.11.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ion Mix Dashboard"/>
      <sheetName val="Modelling Programme"/>
      <sheetName val="TW Cage Breakdown"/>
      <sheetName val="TW Cage Breakdown (2)"/>
      <sheetName val="How Many Spacers"/>
      <sheetName val="DERF Generator"/>
      <sheetName val="Pour Merges"/>
      <sheetName val="Cage Schedule"/>
      <sheetName val="Cage Schedule (2)"/>
      <sheetName val="Model-Wall-Cage Triage"/>
      <sheetName val="Sheet1"/>
      <sheetName val="Sheet2"/>
      <sheetName val="EDR2A &amp; 3B FCRs - Element Level"/>
      <sheetName val="SFS Breakdown"/>
      <sheetName val="Merge Opportunities"/>
      <sheetName val="Lists"/>
      <sheetName val="PMH1 EL&gt;PR"/>
      <sheetName val="PMH2 PR&gt;DATE"/>
      <sheetName val="PMH3 GRAPHS"/>
      <sheetName val="PMH4 TONS-CAGE"/>
      <sheetName val="PMH5"/>
      <sheetName val="Model Summary"/>
      <sheetName val="P6 Dump"/>
      <sheetName val="Model-Pour Smry"/>
      <sheetName val="Opportunity by Type"/>
      <sheetName val="Model-Pour-Element Summary"/>
      <sheetName val="Element Type"/>
      <sheetName val="Tonnage-Concrete Analysis V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8DEF-1BD1-4C6D-93EB-4600663209D2}">
  <sheetPr codeName="Sheet1"/>
  <dimension ref="A1:AE48"/>
  <sheetViews>
    <sheetView tabSelected="1" topLeftCell="A21" zoomScale="80" zoomScaleNormal="80" workbookViewId="0">
      <selection activeCell="C36" sqref="C36"/>
    </sheetView>
  </sheetViews>
  <sheetFormatPr defaultRowHeight="14.5" x14ac:dyDescent="0.35"/>
  <cols>
    <col min="1" max="1" width="2.81640625" customWidth="1"/>
    <col min="2" max="2" width="36.81640625" bestFit="1" customWidth="1"/>
    <col min="3" max="5" width="18.453125" customWidth="1"/>
    <col min="6" max="8" width="21.453125" customWidth="1"/>
    <col min="9" max="9" width="20.81640625" customWidth="1"/>
    <col min="10" max="10" width="17.453125" customWidth="1"/>
    <col min="14" max="14" width="12.54296875" customWidth="1"/>
  </cols>
  <sheetData>
    <row r="1" spans="1:7" ht="15" thickBot="1" x14ac:dyDescent="0.4">
      <c r="A1" s="12"/>
      <c r="B1" s="12"/>
      <c r="C1" s="12"/>
      <c r="D1" s="12"/>
      <c r="E1" s="12"/>
      <c r="F1" s="12"/>
    </row>
    <row r="2" spans="1:7" x14ac:dyDescent="0.35">
      <c r="A2" s="12"/>
      <c r="B2" s="101" t="s">
        <v>0</v>
      </c>
      <c r="C2" s="12"/>
      <c r="D2" s="12"/>
      <c r="E2" s="12"/>
      <c r="F2" s="12"/>
    </row>
    <row r="3" spans="1:7" x14ac:dyDescent="0.35">
      <c r="A3" s="12"/>
      <c r="B3" s="102" t="s">
        <v>1</v>
      </c>
      <c r="C3" s="12"/>
      <c r="D3" s="12"/>
      <c r="E3" s="12"/>
      <c r="F3" s="12"/>
    </row>
    <row r="4" spans="1:7" x14ac:dyDescent="0.35">
      <c r="A4" s="12"/>
      <c r="B4" s="102" t="s">
        <v>2</v>
      </c>
      <c r="C4" s="12"/>
      <c r="D4" s="12"/>
      <c r="E4" s="12"/>
      <c r="F4" s="12"/>
    </row>
    <row r="5" spans="1:7" x14ac:dyDescent="0.35">
      <c r="A5" s="12"/>
      <c r="B5" s="102" t="s">
        <v>3</v>
      </c>
      <c r="C5" s="12"/>
      <c r="D5" s="12"/>
      <c r="E5" s="12"/>
      <c r="F5" s="12"/>
    </row>
    <row r="6" spans="1:7" x14ac:dyDescent="0.35">
      <c r="A6" s="12"/>
      <c r="B6" s="102" t="s">
        <v>4</v>
      </c>
      <c r="C6" s="12"/>
      <c r="D6" s="12"/>
      <c r="E6" s="12"/>
      <c r="F6" s="12"/>
    </row>
    <row r="7" spans="1:7" x14ac:dyDescent="0.35">
      <c r="A7" s="12"/>
      <c r="B7" s="102"/>
      <c r="D7" s="12"/>
      <c r="E7" s="12"/>
      <c r="F7" s="12"/>
    </row>
    <row r="8" spans="1:7" x14ac:dyDescent="0.35">
      <c r="A8" s="12"/>
      <c r="B8" s="102" t="s">
        <v>5</v>
      </c>
      <c r="C8" s="12"/>
      <c r="D8" s="12"/>
      <c r="E8" s="12"/>
      <c r="F8" s="12"/>
    </row>
    <row r="9" spans="1:7" x14ac:dyDescent="0.35">
      <c r="A9" s="12"/>
      <c r="B9" s="102"/>
      <c r="C9" s="12"/>
      <c r="D9" s="12"/>
      <c r="E9" s="12"/>
      <c r="F9" s="12"/>
    </row>
    <row r="10" spans="1:7" ht="15" thickBot="1" x14ac:dyDescent="0.4">
      <c r="A10" s="12"/>
      <c r="B10" s="103" t="s">
        <v>6</v>
      </c>
      <c r="C10" s="12" t="s">
        <v>7</v>
      </c>
      <c r="D10" s="12"/>
      <c r="E10" s="12"/>
      <c r="F10" s="12" t="s">
        <v>8</v>
      </c>
    </row>
    <row r="11" spans="1:7" x14ac:dyDescent="0.35">
      <c r="A11" s="12"/>
      <c r="B11" s="12"/>
      <c r="C11" s="12" t="s">
        <v>9</v>
      </c>
      <c r="D11" s="12"/>
      <c r="E11" s="12"/>
      <c r="F11" s="12" t="s">
        <v>10</v>
      </c>
    </row>
    <row r="12" spans="1:7" x14ac:dyDescent="0.35">
      <c r="A12" s="12"/>
      <c r="B12" s="12"/>
      <c r="C12" s="12" t="s">
        <v>11</v>
      </c>
      <c r="D12" s="12"/>
      <c r="E12" s="12"/>
      <c r="F12" s="12"/>
    </row>
    <row r="13" spans="1:7" x14ac:dyDescent="0.35">
      <c r="A13" s="12"/>
      <c r="B13" s="12"/>
      <c r="C13" s="12" t="s">
        <v>12</v>
      </c>
      <c r="D13" s="12"/>
      <c r="E13" s="12"/>
      <c r="F13" s="12"/>
      <c r="G13" t="s">
        <v>13</v>
      </c>
    </row>
    <row r="14" spans="1:7" x14ac:dyDescent="0.35">
      <c r="A14" s="12"/>
      <c r="B14" s="12"/>
      <c r="C14" s="12" t="s">
        <v>14</v>
      </c>
      <c r="D14" s="12"/>
      <c r="E14" s="12"/>
      <c r="F14" s="12"/>
    </row>
    <row r="15" spans="1:7" x14ac:dyDescent="0.35">
      <c r="A15" s="12"/>
      <c r="B15" s="12"/>
      <c r="C15" s="12"/>
      <c r="D15" s="12"/>
      <c r="E15" s="12"/>
      <c r="F15" s="12"/>
      <c r="G15" t="s">
        <v>15</v>
      </c>
    </row>
    <row r="16" spans="1:7" x14ac:dyDescent="0.35">
      <c r="A16" s="12"/>
      <c r="B16" s="12"/>
      <c r="C16" s="12"/>
      <c r="D16" s="12"/>
      <c r="E16" s="12"/>
      <c r="F16" s="12"/>
    </row>
    <row r="17" spans="1:31" ht="15" thickBot="1" x14ac:dyDescent="0.4">
      <c r="A17" s="12"/>
      <c r="B17" s="12"/>
      <c r="C17" s="12"/>
      <c r="D17" s="12"/>
      <c r="E17" s="12"/>
      <c r="F17" s="12"/>
    </row>
    <row r="18" spans="1:31" ht="15" thickBot="1" x14ac:dyDescent="0.4">
      <c r="A18" s="12"/>
      <c r="B18" s="12"/>
      <c r="C18" s="12"/>
      <c r="D18" s="12"/>
      <c r="E18" s="12"/>
      <c r="F18" s="12"/>
      <c r="Q18" s="176" t="s">
        <v>16</v>
      </c>
      <c r="R18" s="177"/>
      <c r="S18" s="177"/>
      <c r="T18" s="178"/>
    </row>
    <row r="19" spans="1:31" ht="31.75" customHeight="1" thickBot="1" x14ac:dyDescent="0.4">
      <c r="A19" s="12"/>
      <c r="B19" s="12"/>
      <c r="C19" s="16" t="s">
        <v>17</v>
      </c>
      <c r="D19" s="17" t="s">
        <v>18</v>
      </c>
      <c r="E19" s="20" t="s">
        <v>19</v>
      </c>
      <c r="F19" s="20" t="s">
        <v>20</v>
      </c>
      <c r="G19" s="64"/>
      <c r="H19" s="64"/>
      <c r="I19" s="64"/>
      <c r="J19" s="84"/>
      <c r="K19" s="170" t="s">
        <v>21</v>
      </c>
      <c r="L19" s="171"/>
      <c r="M19" s="171"/>
      <c r="N19" s="172"/>
      <c r="O19" s="64"/>
      <c r="P19" s="65"/>
      <c r="Q19" s="179" t="s">
        <v>22</v>
      </c>
      <c r="R19" s="180"/>
      <c r="S19" s="180"/>
      <c r="T19" s="181"/>
      <c r="V19" s="26"/>
      <c r="W19" s="163" t="s">
        <v>23</v>
      </c>
      <c r="X19" s="163"/>
      <c r="Y19" s="163"/>
      <c r="Z19" s="163" t="s">
        <v>24</v>
      </c>
      <c r="AA19" s="163"/>
      <c r="AB19" s="163"/>
      <c r="AC19" s="163" t="s">
        <v>25</v>
      </c>
      <c r="AD19" s="163"/>
      <c r="AE19" s="163"/>
    </row>
    <row r="20" spans="1:31" ht="53" thickBot="1" x14ac:dyDescent="0.4">
      <c r="A20" s="12"/>
      <c r="B20" s="13" t="s">
        <v>26</v>
      </c>
      <c r="C20" s="158">
        <v>25</v>
      </c>
      <c r="D20" s="158">
        <v>32</v>
      </c>
      <c r="E20" s="158">
        <v>16</v>
      </c>
      <c r="F20" s="159"/>
      <c r="G20" s="24"/>
      <c r="H20" s="24"/>
      <c r="I20" s="24"/>
      <c r="J20" s="65"/>
      <c r="K20" s="85" t="s">
        <v>27</v>
      </c>
      <c r="L20" s="86" t="s">
        <v>28</v>
      </c>
      <c r="M20" s="85" t="s">
        <v>29</v>
      </c>
      <c r="N20" s="85" t="s">
        <v>30</v>
      </c>
      <c r="O20" s="24"/>
      <c r="P20" s="66" t="s">
        <v>31</v>
      </c>
      <c r="Q20" s="67" t="s">
        <v>32</v>
      </c>
      <c r="R20" s="67" t="s">
        <v>33</v>
      </c>
      <c r="S20" s="67" t="s">
        <v>34</v>
      </c>
      <c r="T20" s="68" t="s">
        <v>35</v>
      </c>
      <c r="V20" s="27" t="s">
        <v>36</v>
      </c>
      <c r="W20" s="28" t="s">
        <v>37</v>
      </c>
      <c r="X20" s="29" t="s">
        <v>38</v>
      </c>
      <c r="Y20" s="29" t="s">
        <v>39</v>
      </c>
      <c r="Z20" s="28" t="s">
        <v>37</v>
      </c>
      <c r="AA20" s="29" t="s">
        <v>38</v>
      </c>
      <c r="AB20" s="29" t="s">
        <v>39</v>
      </c>
      <c r="AC20" s="28" t="s">
        <v>37</v>
      </c>
      <c r="AD20" s="29" t="s">
        <v>38</v>
      </c>
      <c r="AE20" s="30" t="s">
        <v>39</v>
      </c>
    </row>
    <row r="21" spans="1:31" ht="32" thickBot="1" x14ac:dyDescent="0.4">
      <c r="A21" s="12"/>
      <c r="B21" s="14" t="s">
        <v>40</v>
      </c>
      <c r="C21" s="158">
        <v>25</v>
      </c>
      <c r="D21" s="158">
        <v>25</v>
      </c>
      <c r="E21" s="160"/>
      <c r="F21" s="161">
        <v>3.6</v>
      </c>
      <c r="G21" s="24"/>
      <c r="H21" s="24"/>
      <c r="I21" s="24"/>
      <c r="J21" s="173" t="s">
        <v>41</v>
      </c>
      <c r="K21" s="87" t="s">
        <v>42</v>
      </c>
      <c r="L21" s="88" t="s">
        <v>43</v>
      </c>
      <c r="M21" s="88" t="s">
        <v>43</v>
      </c>
      <c r="N21" s="88" t="s">
        <v>43</v>
      </c>
      <c r="O21" s="24"/>
      <c r="P21" s="74">
        <v>0.5</v>
      </c>
      <c r="Q21" s="75">
        <v>12</v>
      </c>
      <c r="R21" s="75">
        <v>12</v>
      </c>
      <c r="S21" s="75">
        <v>12</v>
      </c>
      <c r="T21" s="76">
        <v>6</v>
      </c>
      <c r="V21" s="31" t="s">
        <v>44</v>
      </c>
      <c r="W21" s="182" t="s">
        <v>45</v>
      </c>
      <c r="X21" s="167"/>
      <c r="Y21" s="167"/>
      <c r="Z21" s="167"/>
      <c r="AA21" s="167"/>
      <c r="AB21" s="167"/>
      <c r="AC21" s="167"/>
      <c r="AD21" s="167"/>
      <c r="AE21" s="168"/>
    </row>
    <row r="22" spans="1:31" ht="15" thickBot="1" x14ac:dyDescent="0.4">
      <c r="A22" s="12"/>
      <c r="B22" s="14" t="s">
        <v>46</v>
      </c>
      <c r="C22" s="5">
        <v>0</v>
      </c>
      <c r="D22" s="5">
        <v>0</v>
      </c>
      <c r="E22" s="8"/>
      <c r="F22" s="18"/>
      <c r="G22" s="24"/>
      <c r="H22" s="24"/>
      <c r="I22" s="24"/>
      <c r="J22" s="174"/>
      <c r="K22" s="89" t="s">
        <v>47</v>
      </c>
      <c r="L22" s="90" t="s">
        <v>48</v>
      </c>
      <c r="M22" s="90" t="s">
        <v>48</v>
      </c>
      <c r="N22" s="90" t="s">
        <v>48</v>
      </c>
      <c r="O22" s="24"/>
      <c r="P22" s="74">
        <v>0.8</v>
      </c>
      <c r="Q22" s="75">
        <v>12</v>
      </c>
      <c r="R22" s="75">
        <v>12</v>
      </c>
      <c r="S22" s="75">
        <v>16</v>
      </c>
      <c r="T22" s="76">
        <v>6</v>
      </c>
      <c r="V22" s="32">
        <v>0.2</v>
      </c>
      <c r="W22" s="40">
        <v>1.8</v>
      </c>
      <c r="X22" s="40">
        <v>1.6</v>
      </c>
      <c r="Y22" s="45">
        <v>1.4</v>
      </c>
      <c r="Z22" s="48">
        <v>2.2000000000000002</v>
      </c>
      <c r="AA22" s="40">
        <v>1.8</v>
      </c>
      <c r="AB22" s="51">
        <v>1.6</v>
      </c>
      <c r="AC22" s="48">
        <v>2.4</v>
      </c>
      <c r="AD22" s="40">
        <v>2.2000000000000002</v>
      </c>
      <c r="AE22" s="51">
        <v>2</v>
      </c>
    </row>
    <row r="23" spans="1:31" ht="14.25" customHeight="1" x14ac:dyDescent="0.35">
      <c r="A23" s="12"/>
      <c r="B23" s="14" t="s">
        <v>49</v>
      </c>
      <c r="C23" s="5">
        <v>0</v>
      </c>
      <c r="D23" s="5">
        <v>0</v>
      </c>
      <c r="E23" s="19"/>
      <c r="F23" s="8"/>
      <c r="G23" s="24"/>
      <c r="H23" s="24"/>
      <c r="I23" s="24"/>
      <c r="J23" s="175" t="s">
        <v>50</v>
      </c>
      <c r="K23" s="91" t="s">
        <v>42</v>
      </c>
      <c r="L23" s="92" t="s">
        <v>43</v>
      </c>
      <c r="M23" s="92" t="s">
        <v>43</v>
      </c>
      <c r="N23" s="92" t="s">
        <v>43</v>
      </c>
      <c r="O23" s="24"/>
      <c r="P23" s="74">
        <v>1.1000000000000001</v>
      </c>
      <c r="Q23" s="75">
        <v>16</v>
      </c>
      <c r="R23" s="75">
        <v>12</v>
      </c>
      <c r="S23" s="75">
        <v>20</v>
      </c>
      <c r="T23" s="76">
        <v>6</v>
      </c>
      <c r="V23" s="33">
        <v>0.4</v>
      </c>
      <c r="W23" s="41">
        <v>1.8</v>
      </c>
      <c r="X23" s="40">
        <v>1.6</v>
      </c>
      <c r="Y23" s="46">
        <v>1.4</v>
      </c>
      <c r="Z23" s="49">
        <v>2</v>
      </c>
      <c r="AA23" s="43">
        <v>1.8</v>
      </c>
      <c r="AB23" s="46">
        <v>1.6</v>
      </c>
      <c r="AC23" s="49">
        <v>2.2000000000000002</v>
      </c>
      <c r="AD23" s="43">
        <v>2</v>
      </c>
      <c r="AE23" s="46">
        <v>1.8</v>
      </c>
    </row>
    <row r="24" spans="1:31" ht="42.25" customHeight="1" thickBot="1" x14ac:dyDescent="0.4">
      <c r="A24" s="12"/>
      <c r="B24" s="14" t="s">
        <v>51</v>
      </c>
      <c r="C24" s="7">
        <v>0</v>
      </c>
      <c r="D24" s="8">
        <v>0</v>
      </c>
      <c r="E24" s="8">
        <v>0</v>
      </c>
      <c r="F24" s="18"/>
      <c r="G24" s="24"/>
      <c r="H24" s="24"/>
      <c r="I24" s="24"/>
      <c r="J24" s="174"/>
      <c r="K24" s="89" t="s">
        <v>47</v>
      </c>
      <c r="L24" s="90" t="s">
        <v>52</v>
      </c>
      <c r="M24" s="90" t="s">
        <v>52</v>
      </c>
      <c r="N24" s="90" t="s">
        <v>52</v>
      </c>
      <c r="O24" s="24"/>
      <c r="P24" s="74">
        <v>1.5</v>
      </c>
      <c r="Q24" s="75">
        <v>20</v>
      </c>
      <c r="R24" s="75">
        <v>16</v>
      </c>
      <c r="S24" s="75">
        <v>25</v>
      </c>
      <c r="T24" s="76">
        <v>6</v>
      </c>
      <c r="V24" s="33">
        <v>0.6</v>
      </c>
      <c r="W24" s="41">
        <v>1.6</v>
      </c>
      <c r="X24" s="43">
        <v>1.4</v>
      </c>
      <c r="Y24" s="46">
        <v>1.2</v>
      </c>
      <c r="Z24" s="49">
        <v>1.8</v>
      </c>
      <c r="AA24" s="43">
        <v>1.6</v>
      </c>
      <c r="AB24" s="46">
        <v>1.4</v>
      </c>
      <c r="AC24" s="49">
        <v>2</v>
      </c>
      <c r="AD24" s="43">
        <v>1.8</v>
      </c>
      <c r="AE24" s="46">
        <v>1.6</v>
      </c>
    </row>
    <row r="25" spans="1:31" ht="15" thickBot="1" x14ac:dyDescent="0.4">
      <c r="A25" s="12"/>
      <c r="B25" s="15" t="s">
        <v>53</v>
      </c>
      <c r="C25" s="158"/>
      <c r="D25" s="158"/>
      <c r="E25" s="160"/>
      <c r="F25" s="161"/>
      <c r="G25" s="24"/>
      <c r="H25" s="24"/>
      <c r="I25" s="24"/>
      <c r="J25" s="24"/>
      <c r="K25" s="24"/>
      <c r="L25" s="24"/>
      <c r="M25" s="24"/>
      <c r="N25" s="24"/>
      <c r="O25" s="24"/>
      <c r="P25" s="77">
        <v>2.6</v>
      </c>
      <c r="Q25" s="78">
        <v>32</v>
      </c>
      <c r="R25" s="78">
        <v>20</v>
      </c>
      <c r="S25" s="78">
        <v>32</v>
      </c>
      <c r="T25" s="79">
        <v>6</v>
      </c>
      <c r="V25" s="33">
        <v>0.8</v>
      </c>
      <c r="W25" s="41">
        <v>1.4</v>
      </c>
      <c r="X25" s="43">
        <v>1.4</v>
      </c>
      <c r="Y25" s="46">
        <v>1.2</v>
      </c>
      <c r="Z25" s="49">
        <v>1.6</v>
      </c>
      <c r="AA25" s="43">
        <v>1.6</v>
      </c>
      <c r="AB25" s="46">
        <v>1.4</v>
      </c>
      <c r="AC25" s="49">
        <v>2</v>
      </c>
      <c r="AD25" s="43">
        <v>1.6</v>
      </c>
      <c r="AE25" s="46">
        <v>1.6</v>
      </c>
    </row>
    <row r="26" spans="1:31" ht="34.75" customHeight="1" thickBot="1" x14ac:dyDescent="0.4">
      <c r="A26" s="12"/>
      <c r="B26" s="14" t="s">
        <v>54</v>
      </c>
      <c r="C26" s="158">
        <v>25</v>
      </c>
      <c r="D26" s="158">
        <v>32</v>
      </c>
      <c r="E26" s="158">
        <v>16</v>
      </c>
      <c r="F26" s="162"/>
      <c r="G26" s="24"/>
      <c r="H26" s="24"/>
      <c r="I26" s="24"/>
      <c r="J26" s="84"/>
      <c r="K26" s="170" t="s">
        <v>55</v>
      </c>
      <c r="L26" s="171"/>
      <c r="M26" s="171"/>
      <c r="N26" s="172"/>
      <c r="O26" s="24"/>
      <c r="P26" s="24"/>
      <c r="Q26" s="176" t="s">
        <v>56</v>
      </c>
      <c r="R26" s="177"/>
      <c r="S26" s="177"/>
      <c r="T26" s="178"/>
      <c r="V26" s="34" t="s">
        <v>57</v>
      </c>
      <c r="W26" s="41">
        <v>1.4</v>
      </c>
      <c r="X26" s="43">
        <v>1.2</v>
      </c>
      <c r="Y26" s="46">
        <v>1.2</v>
      </c>
      <c r="Z26" s="49">
        <v>1.6</v>
      </c>
      <c r="AA26" s="43">
        <v>1.4</v>
      </c>
      <c r="AB26" s="46">
        <v>1.2</v>
      </c>
      <c r="AC26" s="49">
        <v>1.8</v>
      </c>
      <c r="AD26" s="43">
        <v>1.6</v>
      </c>
      <c r="AE26" s="46">
        <v>1.4</v>
      </c>
    </row>
    <row r="27" spans="1:31" ht="40.75" customHeight="1" thickBot="1" x14ac:dyDescent="0.4">
      <c r="A27" s="12"/>
      <c r="B27" s="14" t="s">
        <v>58</v>
      </c>
      <c r="C27" s="158">
        <v>25</v>
      </c>
      <c r="D27" s="158">
        <v>25</v>
      </c>
      <c r="E27" s="160"/>
      <c r="F27" s="161">
        <v>3.6</v>
      </c>
      <c r="G27" s="24"/>
      <c r="H27" s="24"/>
      <c r="I27" s="24"/>
      <c r="J27" s="65"/>
      <c r="K27" s="85" t="s">
        <v>27</v>
      </c>
      <c r="L27" s="86" t="s">
        <v>28</v>
      </c>
      <c r="M27" s="85" t="s">
        <v>29</v>
      </c>
      <c r="N27" s="85" t="s">
        <v>30</v>
      </c>
      <c r="O27" s="24"/>
      <c r="P27" s="65"/>
      <c r="Q27" s="179" t="s">
        <v>22</v>
      </c>
      <c r="R27" s="180"/>
      <c r="S27" s="180"/>
      <c r="T27" s="181"/>
      <c r="V27" s="35">
        <v>1.2</v>
      </c>
      <c r="W27" s="42">
        <v>1.4</v>
      </c>
      <c r="X27" s="44">
        <v>1.2</v>
      </c>
      <c r="Y27" s="47">
        <v>1</v>
      </c>
      <c r="Z27" s="50">
        <v>1.6</v>
      </c>
      <c r="AA27" s="44">
        <v>1.4</v>
      </c>
      <c r="AB27" s="47">
        <v>1.2</v>
      </c>
      <c r="AC27" s="50">
        <v>1.8</v>
      </c>
      <c r="AD27" s="44">
        <v>1.6</v>
      </c>
      <c r="AE27" s="47">
        <v>1.4</v>
      </c>
    </row>
    <row r="28" spans="1:31" ht="53" thickBot="1" x14ac:dyDescent="0.4">
      <c r="A28" s="12"/>
      <c r="B28" s="14" t="s">
        <v>59</v>
      </c>
      <c r="C28" s="158"/>
      <c r="D28" s="158"/>
      <c r="E28" s="158"/>
      <c r="F28" s="162"/>
      <c r="G28" s="24"/>
      <c r="H28" s="24"/>
      <c r="I28" s="24"/>
      <c r="J28" s="173" t="s">
        <v>41</v>
      </c>
      <c r="K28" s="87" t="s">
        <v>60</v>
      </c>
      <c r="L28" s="95" t="s">
        <v>61</v>
      </c>
      <c r="M28" s="95" t="s">
        <v>61</v>
      </c>
      <c r="N28" s="95" t="s">
        <v>61</v>
      </c>
      <c r="O28" s="24"/>
      <c r="P28" s="66" t="s">
        <v>31</v>
      </c>
      <c r="Q28" s="67" t="s">
        <v>32</v>
      </c>
      <c r="R28" s="67" t="s">
        <v>33</v>
      </c>
      <c r="S28" s="67" t="s">
        <v>34</v>
      </c>
      <c r="T28" s="68" t="s">
        <v>35</v>
      </c>
    </row>
    <row r="29" spans="1:31" ht="15" customHeight="1" thickBot="1" x14ac:dyDescent="0.4">
      <c r="A29" s="12"/>
      <c r="B29" s="14" t="s">
        <v>62</v>
      </c>
      <c r="C29" s="5"/>
      <c r="D29" s="5"/>
      <c r="E29" s="19"/>
      <c r="F29" s="8"/>
      <c r="G29" s="24"/>
      <c r="H29" s="24"/>
      <c r="I29" s="24"/>
      <c r="J29" s="174"/>
      <c r="K29" s="89" t="s">
        <v>63</v>
      </c>
      <c r="L29" s="96" t="s">
        <v>64</v>
      </c>
      <c r="M29" s="96" t="s">
        <v>64</v>
      </c>
      <c r="N29" s="96" t="s">
        <v>64</v>
      </c>
      <c r="O29" s="24"/>
      <c r="P29" s="74">
        <v>0.8</v>
      </c>
      <c r="Q29" s="75">
        <v>12</v>
      </c>
      <c r="R29" s="75">
        <v>12</v>
      </c>
      <c r="S29" s="75">
        <v>12</v>
      </c>
      <c r="T29" s="76">
        <v>6</v>
      </c>
      <c r="V29" s="26"/>
      <c r="W29" s="163" t="s">
        <v>23</v>
      </c>
      <c r="X29" s="163"/>
      <c r="Y29" s="163"/>
      <c r="Z29" s="163" t="s">
        <v>24</v>
      </c>
      <c r="AA29" s="163"/>
      <c r="AB29" s="163"/>
      <c r="AC29" s="163" t="s">
        <v>25</v>
      </c>
      <c r="AD29" s="163"/>
      <c r="AE29" s="163"/>
    </row>
    <row r="30" spans="1:31" ht="21.5" thickBot="1" x14ac:dyDescent="0.4">
      <c r="A30" s="12"/>
      <c r="B30" s="14" t="s">
        <v>65</v>
      </c>
      <c r="C30" s="7"/>
      <c r="D30" s="8"/>
      <c r="E30" s="8"/>
      <c r="F30" s="18"/>
      <c r="G30" s="24"/>
      <c r="H30" s="24"/>
      <c r="I30" s="24"/>
      <c r="J30" s="173" t="s">
        <v>50</v>
      </c>
      <c r="K30" s="97" t="s">
        <v>66</v>
      </c>
      <c r="L30" s="98" t="s">
        <v>67</v>
      </c>
      <c r="M30" s="98" t="s">
        <v>67</v>
      </c>
      <c r="N30" s="98" t="s">
        <v>67</v>
      </c>
      <c r="O30" s="24"/>
      <c r="P30" s="74">
        <v>1.1000000000000001</v>
      </c>
      <c r="Q30" s="75">
        <v>12</v>
      </c>
      <c r="R30" s="75">
        <v>12</v>
      </c>
      <c r="S30" s="75">
        <v>16</v>
      </c>
      <c r="T30" s="76">
        <v>6</v>
      </c>
      <c r="V30" s="27" t="s">
        <v>36</v>
      </c>
      <c r="W30" s="28" t="s">
        <v>37</v>
      </c>
      <c r="X30" s="29" t="s">
        <v>38</v>
      </c>
      <c r="Y30" s="29" t="s">
        <v>39</v>
      </c>
      <c r="Z30" s="28" t="s">
        <v>37</v>
      </c>
      <c r="AA30" s="29" t="s">
        <v>38</v>
      </c>
      <c r="AB30" s="29" t="s">
        <v>39</v>
      </c>
      <c r="AC30" s="28" t="s">
        <v>37</v>
      </c>
      <c r="AD30" s="29" t="s">
        <v>38</v>
      </c>
      <c r="AE30" s="30" t="s">
        <v>39</v>
      </c>
    </row>
    <row r="31" spans="1:31" ht="32" thickBot="1" x14ac:dyDescent="0.4">
      <c r="A31" s="12"/>
      <c r="B31" s="15" t="s">
        <v>68</v>
      </c>
      <c r="C31" s="7"/>
      <c r="D31" s="8"/>
      <c r="E31" s="21"/>
      <c r="F31" s="9"/>
      <c r="G31" s="24"/>
      <c r="H31" s="24"/>
      <c r="I31" s="24"/>
      <c r="J31" s="175"/>
      <c r="K31" s="97" t="s">
        <v>69</v>
      </c>
      <c r="L31" s="98" t="s">
        <v>70</v>
      </c>
      <c r="M31" s="98" t="s">
        <v>70</v>
      </c>
      <c r="N31" s="98" t="s">
        <v>70</v>
      </c>
      <c r="O31" s="24"/>
      <c r="P31" s="74">
        <v>1.5</v>
      </c>
      <c r="Q31" s="75">
        <v>16</v>
      </c>
      <c r="R31" s="75">
        <v>16</v>
      </c>
      <c r="S31" s="75">
        <v>25</v>
      </c>
      <c r="T31" s="76">
        <v>6</v>
      </c>
      <c r="V31" s="31" t="s">
        <v>44</v>
      </c>
      <c r="W31" s="169" t="s">
        <v>45</v>
      </c>
      <c r="X31" s="169"/>
      <c r="Y31" s="169"/>
      <c r="Z31" s="169"/>
      <c r="AA31" s="169"/>
      <c r="AB31" s="169"/>
      <c r="AC31" s="169"/>
      <c r="AD31" s="169"/>
      <c r="AE31" s="169"/>
    </row>
    <row r="32" spans="1:31" ht="21.5" thickBot="1" x14ac:dyDescent="0.4">
      <c r="A32" s="12"/>
      <c r="B32" s="12"/>
      <c r="C32" s="12"/>
      <c r="D32" s="12"/>
      <c r="E32" s="12"/>
      <c r="F32" s="12"/>
      <c r="I32" s="24"/>
      <c r="J32" s="175"/>
      <c r="K32" s="97" t="s">
        <v>71</v>
      </c>
      <c r="L32" s="98" t="s">
        <v>72</v>
      </c>
      <c r="M32" s="98" t="s">
        <v>72</v>
      </c>
      <c r="N32" s="98" t="s">
        <v>72</v>
      </c>
      <c r="O32" s="24"/>
      <c r="P32" s="77">
        <v>2.6</v>
      </c>
      <c r="Q32" s="78">
        <v>32</v>
      </c>
      <c r="R32" s="78">
        <v>20</v>
      </c>
      <c r="S32" s="78">
        <v>32</v>
      </c>
      <c r="T32" s="79">
        <v>6</v>
      </c>
      <c r="V32" s="36">
        <v>0.2</v>
      </c>
      <c r="W32" s="55">
        <v>1.4</v>
      </c>
      <c r="X32" s="55">
        <v>1.4</v>
      </c>
      <c r="Y32" s="63">
        <v>1.2</v>
      </c>
      <c r="Z32" s="58">
        <v>2</v>
      </c>
      <c r="AA32" s="55">
        <v>1.6</v>
      </c>
      <c r="AB32" s="53">
        <v>1.6</v>
      </c>
      <c r="AC32" s="58">
        <v>2.2000000000000002</v>
      </c>
      <c r="AD32" s="55">
        <v>2</v>
      </c>
      <c r="AE32" s="53">
        <v>1.8</v>
      </c>
    </row>
    <row r="33" spans="1:31" ht="21.5" thickBot="1" x14ac:dyDescent="0.4">
      <c r="A33" s="12"/>
      <c r="B33" s="22" t="s">
        <v>73</v>
      </c>
      <c r="C33" s="23">
        <v>0.31</v>
      </c>
      <c r="D33" s="164" t="s">
        <v>74</v>
      </c>
      <c r="E33" s="165"/>
      <c r="F33" s="165"/>
      <c r="G33" s="166"/>
      <c r="H33" s="24"/>
      <c r="J33" s="175"/>
      <c r="K33" s="99" t="s">
        <v>75</v>
      </c>
      <c r="L33" s="96" t="s">
        <v>76</v>
      </c>
      <c r="M33" s="96" t="s">
        <v>76</v>
      </c>
      <c r="N33" s="96" t="s">
        <v>76</v>
      </c>
      <c r="P33" s="80"/>
      <c r="Q33" s="81"/>
      <c r="R33" s="81"/>
      <c r="S33" s="81"/>
      <c r="T33" s="82"/>
      <c r="V33" s="37">
        <v>0.4</v>
      </c>
      <c r="W33" s="61">
        <v>1.4</v>
      </c>
      <c r="X33" s="56">
        <v>1.2</v>
      </c>
      <c r="Y33" s="54">
        <v>1</v>
      </c>
      <c r="Z33" s="59">
        <v>1.6</v>
      </c>
      <c r="AA33" s="56">
        <v>1.4</v>
      </c>
      <c r="AB33" s="54">
        <v>1.4</v>
      </c>
      <c r="AC33" s="59">
        <v>2</v>
      </c>
      <c r="AD33" s="56">
        <v>1.6</v>
      </c>
      <c r="AE33" s="54">
        <v>1.6</v>
      </c>
    </row>
    <row r="34" spans="1:31" ht="44" thickBot="1" x14ac:dyDescent="0.4">
      <c r="A34" s="12"/>
      <c r="B34" s="12"/>
      <c r="C34" s="11"/>
      <c r="D34" s="70" t="s">
        <v>77</v>
      </c>
      <c r="E34" s="70" t="s">
        <v>78</v>
      </c>
      <c r="F34" s="70" t="s">
        <v>79</v>
      </c>
      <c r="G34" s="71" t="s">
        <v>80</v>
      </c>
      <c r="H34" s="83"/>
      <c r="J34" s="175"/>
      <c r="K34" s="99" t="s">
        <v>81</v>
      </c>
      <c r="L34" s="96" t="s">
        <v>82</v>
      </c>
      <c r="M34" s="96" t="s">
        <v>82</v>
      </c>
      <c r="N34" s="96" t="s">
        <v>82</v>
      </c>
      <c r="Q34" s="176" t="s">
        <v>83</v>
      </c>
      <c r="R34" s="177"/>
      <c r="S34" s="177"/>
      <c r="T34" s="178"/>
      <c r="V34" s="37">
        <v>0.6</v>
      </c>
      <c r="W34" s="61">
        <v>1.2</v>
      </c>
      <c r="X34" s="56">
        <v>1</v>
      </c>
      <c r="Y34" s="54">
        <v>1</v>
      </c>
      <c r="Z34" s="59">
        <v>1.4</v>
      </c>
      <c r="AA34" s="56">
        <v>1.4</v>
      </c>
      <c r="AB34" s="54">
        <v>1.2</v>
      </c>
      <c r="AC34" s="59">
        <v>1.8</v>
      </c>
      <c r="AD34" s="56">
        <v>1.6</v>
      </c>
      <c r="AE34" s="54">
        <v>1.4</v>
      </c>
    </row>
    <row r="35" spans="1:31" ht="38.15" customHeight="1" thickBot="1" x14ac:dyDescent="0.4">
      <c r="A35" s="12"/>
      <c r="B35" s="22" t="s">
        <v>84</v>
      </c>
      <c r="C35" s="100">
        <v>0.5</v>
      </c>
      <c r="D35" s="23">
        <v>12</v>
      </c>
      <c r="E35" s="23">
        <v>12</v>
      </c>
      <c r="F35" s="23">
        <v>12</v>
      </c>
      <c r="G35" s="23">
        <v>6</v>
      </c>
      <c r="H35" s="24"/>
      <c r="J35" s="174"/>
      <c r="K35" s="99" t="s">
        <v>85</v>
      </c>
      <c r="L35" s="96" t="s">
        <v>86</v>
      </c>
      <c r="M35" s="96" t="s">
        <v>86</v>
      </c>
      <c r="N35" s="96" t="s">
        <v>86</v>
      </c>
      <c r="P35" s="65"/>
      <c r="Q35" s="179" t="s">
        <v>22</v>
      </c>
      <c r="R35" s="180"/>
      <c r="S35" s="180"/>
      <c r="T35" s="181"/>
      <c r="V35" s="37">
        <v>0.8</v>
      </c>
      <c r="W35" s="61">
        <v>1</v>
      </c>
      <c r="X35" s="56">
        <v>1</v>
      </c>
      <c r="Y35" s="54">
        <v>0.8</v>
      </c>
      <c r="Z35" s="59">
        <v>1.4</v>
      </c>
      <c r="AA35" s="56">
        <v>1.2</v>
      </c>
      <c r="AB35" s="54">
        <v>1</v>
      </c>
      <c r="AC35" s="59">
        <v>1.6</v>
      </c>
      <c r="AD35" s="56">
        <v>1.4</v>
      </c>
      <c r="AE35" s="54">
        <v>1.2</v>
      </c>
    </row>
    <row r="36" spans="1:31" ht="53" thickBot="1" x14ac:dyDescent="0.4">
      <c r="A36" s="12"/>
      <c r="B36" s="72" t="s">
        <v>87</v>
      </c>
      <c r="C36" s="72" t="str">
        <f>'Lifting Calculation'!G20</f>
        <v>OK</v>
      </c>
      <c r="D36" s="69" t="str">
        <f>'Lifting Calculation'!H20</f>
        <v>OK</v>
      </c>
      <c r="E36" s="69" t="str">
        <f>'Lifting Calculation'!I20</f>
        <v>OK</v>
      </c>
      <c r="F36" s="69" t="str">
        <f>'Lifting Calculation'!J20</f>
        <v>OK</v>
      </c>
      <c r="G36" s="73"/>
      <c r="K36" s="93"/>
      <c r="L36" s="94"/>
      <c r="M36" s="94"/>
      <c r="N36" s="94"/>
      <c r="P36" s="66" t="s">
        <v>31</v>
      </c>
      <c r="Q36" s="67" t="s">
        <v>32</v>
      </c>
      <c r="R36" s="67" t="s">
        <v>33</v>
      </c>
      <c r="S36" s="67" t="s">
        <v>34</v>
      </c>
      <c r="T36" s="68" t="s">
        <v>35</v>
      </c>
      <c r="U36" t="s">
        <v>88</v>
      </c>
      <c r="V36" s="38" t="s">
        <v>57</v>
      </c>
      <c r="W36" s="61">
        <v>1</v>
      </c>
      <c r="X36" s="56">
        <v>0.8</v>
      </c>
      <c r="Y36" s="54">
        <v>0.8</v>
      </c>
      <c r="Z36" s="59">
        <v>1.2</v>
      </c>
      <c r="AA36" s="56">
        <v>1</v>
      </c>
      <c r="AB36" s="54">
        <v>1</v>
      </c>
      <c r="AC36" s="59">
        <v>1.4</v>
      </c>
      <c r="AD36" s="56">
        <v>1.2</v>
      </c>
      <c r="AE36" s="54">
        <v>1.2</v>
      </c>
    </row>
    <row r="37" spans="1:31" ht="15" thickBot="1" x14ac:dyDescent="0.4">
      <c r="A37" s="12"/>
      <c r="B37" s="12"/>
      <c r="C37" s="11"/>
      <c r="D37" s="12"/>
      <c r="E37" s="12"/>
      <c r="F37" s="12"/>
      <c r="I37" s="12"/>
      <c r="J37" s="12"/>
      <c r="K37" s="12"/>
      <c r="L37" s="12"/>
      <c r="M37" s="12"/>
      <c r="N37" s="12"/>
      <c r="O37" s="12"/>
      <c r="P37" s="74">
        <v>0.8</v>
      </c>
      <c r="Q37" s="75">
        <v>12</v>
      </c>
      <c r="R37" s="75">
        <v>12</v>
      </c>
      <c r="S37" s="75">
        <v>12</v>
      </c>
      <c r="T37" s="76">
        <v>6</v>
      </c>
      <c r="V37" s="39">
        <v>1.2</v>
      </c>
      <c r="W37" s="62">
        <v>1</v>
      </c>
      <c r="X37" s="57">
        <v>0.8</v>
      </c>
      <c r="Y37" s="52">
        <v>0.8</v>
      </c>
      <c r="Z37" s="60">
        <v>1.2</v>
      </c>
      <c r="AA37" s="57">
        <v>1</v>
      </c>
      <c r="AB37" s="52">
        <v>1</v>
      </c>
      <c r="AC37" s="60">
        <v>1.4</v>
      </c>
      <c r="AD37" s="57">
        <v>1.2</v>
      </c>
      <c r="AE37" s="52">
        <v>1</v>
      </c>
    </row>
    <row r="38" spans="1:31" ht="27.25" customHeight="1" thickBot="1" x14ac:dyDescent="0.4">
      <c r="A38" s="12"/>
      <c r="B38" s="12"/>
      <c r="C38" s="12"/>
      <c r="D38" s="12"/>
      <c r="F38" t="s">
        <v>89</v>
      </c>
      <c r="I38" s="12"/>
      <c r="J38" s="173" t="s">
        <v>41</v>
      </c>
      <c r="K38" s="170" t="s">
        <v>90</v>
      </c>
      <c r="L38" s="171"/>
      <c r="M38" s="171"/>
      <c r="N38" s="172"/>
      <c r="O38" s="12"/>
      <c r="P38" s="74">
        <v>1.1000000000000001</v>
      </c>
      <c r="Q38" s="75">
        <v>12</v>
      </c>
      <c r="R38" s="75">
        <v>12</v>
      </c>
      <c r="S38" s="75">
        <v>16</v>
      </c>
      <c r="T38" s="76">
        <v>6</v>
      </c>
    </row>
    <row r="39" spans="1:31" ht="47.9" customHeight="1" thickBot="1" x14ac:dyDescent="0.4">
      <c r="B39" s="4" t="s">
        <v>91</v>
      </c>
      <c r="C39" s="10">
        <f>'Lifting Calculation'!G19</f>
        <v>2</v>
      </c>
      <c r="E39" s="12"/>
      <c r="F39" s="12"/>
      <c r="J39" s="174"/>
      <c r="K39" s="85" t="s">
        <v>27</v>
      </c>
      <c r="L39" s="86" t="s">
        <v>28</v>
      </c>
      <c r="M39" s="85" t="s">
        <v>29</v>
      </c>
      <c r="N39" s="85" t="s">
        <v>30</v>
      </c>
      <c r="P39" s="74">
        <v>1.5</v>
      </c>
      <c r="Q39" s="75">
        <v>16</v>
      </c>
      <c r="R39" s="75">
        <v>12</v>
      </c>
      <c r="S39" s="75">
        <v>20</v>
      </c>
      <c r="T39" s="76">
        <v>6</v>
      </c>
    </row>
    <row r="40" spans="1:31" ht="28" customHeight="1" thickBot="1" x14ac:dyDescent="0.4">
      <c r="A40" s="12"/>
      <c r="B40" s="12"/>
      <c r="C40" s="12"/>
      <c r="D40" s="12"/>
      <c r="E40" s="12"/>
      <c r="F40" s="12"/>
      <c r="I40" s="12"/>
      <c r="J40" s="175" t="s">
        <v>50</v>
      </c>
      <c r="K40" s="87" t="s">
        <v>42</v>
      </c>
      <c r="L40" s="88" t="s">
        <v>43</v>
      </c>
      <c r="M40" s="88" t="s">
        <v>43</v>
      </c>
      <c r="N40" s="88" t="s">
        <v>43</v>
      </c>
      <c r="O40" s="12"/>
      <c r="P40" s="77">
        <v>2.6</v>
      </c>
      <c r="Q40" s="78">
        <v>32</v>
      </c>
      <c r="R40" s="78">
        <v>20</v>
      </c>
      <c r="S40" s="78">
        <v>32</v>
      </c>
      <c r="T40" s="79">
        <v>6</v>
      </c>
      <c r="V40" s="26"/>
      <c r="W40" s="163" t="s">
        <v>24</v>
      </c>
      <c r="X40" s="163"/>
      <c r="Y40" s="163"/>
      <c r="Z40" s="163" t="s">
        <v>25</v>
      </c>
      <c r="AA40" s="163"/>
      <c r="AB40" s="163"/>
    </row>
    <row r="41" spans="1:31" ht="21.5" thickBot="1" x14ac:dyDescent="0.4">
      <c r="B41" t="s">
        <v>92</v>
      </c>
      <c r="E41" s="12"/>
      <c r="F41" s="12" t="s">
        <v>93</v>
      </c>
      <c r="I41" s="12"/>
      <c r="J41" s="174"/>
      <c r="K41" s="89" t="s">
        <v>47</v>
      </c>
      <c r="L41" s="90" t="s">
        <v>48</v>
      </c>
      <c r="M41" s="90" t="s">
        <v>48</v>
      </c>
      <c r="N41" s="90" t="s">
        <v>48</v>
      </c>
      <c r="O41" s="12"/>
      <c r="P41" s="12"/>
      <c r="Q41" s="12"/>
      <c r="R41" s="12"/>
      <c r="S41" s="12"/>
      <c r="T41" s="12"/>
      <c r="V41" s="27" t="s">
        <v>36</v>
      </c>
      <c r="W41" s="28" t="s">
        <v>37</v>
      </c>
      <c r="X41" s="29" t="s">
        <v>38</v>
      </c>
      <c r="Y41" s="29" t="s">
        <v>39</v>
      </c>
      <c r="Z41" s="28" t="s">
        <v>37</v>
      </c>
      <c r="AA41" s="29" t="s">
        <v>38</v>
      </c>
      <c r="AB41" s="30" t="s">
        <v>39</v>
      </c>
    </row>
    <row r="42" spans="1:31" ht="15" customHeight="1" thickBot="1" x14ac:dyDescent="0.4">
      <c r="F42" s="12" t="s">
        <v>94</v>
      </c>
      <c r="I42" s="12"/>
      <c r="K42" s="91" t="s">
        <v>42</v>
      </c>
      <c r="L42" s="92" t="s">
        <v>43</v>
      </c>
      <c r="M42" s="92" t="s">
        <v>43</v>
      </c>
      <c r="N42" s="92" t="s">
        <v>43</v>
      </c>
      <c r="O42" s="12"/>
      <c r="P42" s="12"/>
      <c r="Q42" s="12"/>
      <c r="R42" s="12"/>
      <c r="S42" s="12"/>
      <c r="T42" s="12"/>
      <c r="V42" s="31" t="s">
        <v>44</v>
      </c>
      <c r="W42" s="167" t="s">
        <v>95</v>
      </c>
      <c r="X42" s="167"/>
      <c r="Y42" s="167"/>
      <c r="Z42" s="167"/>
      <c r="AA42" s="167"/>
      <c r="AB42" s="168"/>
    </row>
    <row r="43" spans="1:31" ht="15" customHeight="1" thickBot="1" x14ac:dyDescent="0.4">
      <c r="E43" s="12"/>
      <c r="F43" s="12" t="s">
        <v>96</v>
      </c>
      <c r="I43" s="12"/>
      <c r="K43" s="89" t="s">
        <v>47</v>
      </c>
      <c r="L43" s="90" t="s">
        <v>52</v>
      </c>
      <c r="M43" s="90" t="s">
        <v>52</v>
      </c>
      <c r="N43" s="90" t="s">
        <v>52</v>
      </c>
      <c r="O43" s="12"/>
      <c r="P43" s="12"/>
      <c r="Q43" s="12"/>
      <c r="R43" s="12"/>
      <c r="S43" s="12"/>
      <c r="T43" s="12"/>
      <c r="V43" s="32">
        <v>0.2</v>
      </c>
      <c r="W43" s="48">
        <v>1.8</v>
      </c>
      <c r="X43" s="40">
        <v>1.6</v>
      </c>
      <c r="Y43" s="51">
        <v>1.4</v>
      </c>
      <c r="Z43" s="48">
        <v>2</v>
      </c>
      <c r="AA43" s="40">
        <v>1.8</v>
      </c>
      <c r="AB43" s="51">
        <v>1.6</v>
      </c>
    </row>
    <row r="44" spans="1:31" x14ac:dyDescent="0.35">
      <c r="F44" s="12" t="s">
        <v>97</v>
      </c>
      <c r="I44" s="12"/>
      <c r="O44" s="12"/>
      <c r="P44" s="12"/>
      <c r="Q44" s="12"/>
      <c r="R44" s="12"/>
      <c r="S44" s="12"/>
      <c r="T44" s="12"/>
      <c r="V44" s="33">
        <v>0.4</v>
      </c>
      <c r="W44" s="49">
        <v>1.4</v>
      </c>
      <c r="X44" s="43">
        <v>1.2</v>
      </c>
      <c r="Y44" s="46">
        <v>1.2</v>
      </c>
      <c r="Z44" s="49">
        <v>1.8</v>
      </c>
      <c r="AA44" s="43">
        <v>1.6</v>
      </c>
      <c r="AB44" s="46">
        <v>1.4</v>
      </c>
    </row>
    <row r="45" spans="1:31" x14ac:dyDescent="0.35">
      <c r="F45" s="12" t="s">
        <v>98</v>
      </c>
      <c r="P45" s="12"/>
      <c r="Q45" s="12"/>
      <c r="R45" s="12"/>
      <c r="S45" s="12"/>
      <c r="T45" s="12"/>
      <c r="V45" s="33">
        <v>0.6</v>
      </c>
      <c r="W45" s="49">
        <v>1.2</v>
      </c>
      <c r="X45" s="43">
        <v>1</v>
      </c>
      <c r="Y45" s="46">
        <v>1</v>
      </c>
      <c r="Z45" s="49">
        <v>1.6</v>
      </c>
      <c r="AA45" s="43">
        <v>1.4</v>
      </c>
      <c r="AB45" s="46">
        <v>1.2</v>
      </c>
    </row>
    <row r="46" spans="1:31" x14ac:dyDescent="0.35">
      <c r="F46" s="12" t="s">
        <v>99</v>
      </c>
      <c r="V46" s="33">
        <v>0.8</v>
      </c>
      <c r="W46" s="49">
        <v>1</v>
      </c>
      <c r="X46" s="43">
        <v>1</v>
      </c>
      <c r="Y46" s="46">
        <v>0.8</v>
      </c>
      <c r="Z46" s="49">
        <v>1.4</v>
      </c>
      <c r="AA46" s="43">
        <v>1.2</v>
      </c>
      <c r="AB46" s="46">
        <v>1</v>
      </c>
    </row>
    <row r="47" spans="1:31" x14ac:dyDescent="0.35">
      <c r="V47" s="34" t="s">
        <v>57</v>
      </c>
      <c r="W47" s="49">
        <v>1</v>
      </c>
      <c r="X47" s="43">
        <v>0.8</v>
      </c>
      <c r="Y47" s="46">
        <v>0.8</v>
      </c>
      <c r="Z47" s="49">
        <v>1.2</v>
      </c>
      <c r="AA47" s="43">
        <v>1.2</v>
      </c>
      <c r="AB47" s="46">
        <v>1</v>
      </c>
    </row>
    <row r="48" spans="1:31" ht="15" thickBot="1" x14ac:dyDescent="0.4">
      <c r="V48" s="35">
        <v>1.2</v>
      </c>
      <c r="W48" s="50">
        <v>1</v>
      </c>
      <c r="X48" s="44">
        <v>0.8</v>
      </c>
      <c r="Y48" s="47">
        <v>0.8</v>
      </c>
      <c r="Z48" s="50">
        <v>1.2</v>
      </c>
      <c r="AA48" s="44">
        <v>1</v>
      </c>
      <c r="AB48" s="47">
        <v>1</v>
      </c>
    </row>
  </sheetData>
  <mergeCells count="27">
    <mergeCell ref="K26:N26"/>
    <mergeCell ref="J28:J29"/>
    <mergeCell ref="J30:J35"/>
    <mergeCell ref="K19:N19"/>
    <mergeCell ref="J21:J22"/>
    <mergeCell ref="J23:J24"/>
    <mergeCell ref="Q18:T18"/>
    <mergeCell ref="Q26:T26"/>
    <mergeCell ref="Q34:T34"/>
    <mergeCell ref="Q35:T35"/>
    <mergeCell ref="W21:AE21"/>
    <mergeCell ref="AC29:AE29"/>
    <mergeCell ref="W19:Y19"/>
    <mergeCell ref="Z19:AB19"/>
    <mergeCell ref="AC19:AE19"/>
    <mergeCell ref="Q19:T19"/>
    <mergeCell ref="Q27:T27"/>
    <mergeCell ref="W40:Y40"/>
    <mergeCell ref="Z40:AB40"/>
    <mergeCell ref="D33:G33"/>
    <mergeCell ref="W42:AB42"/>
    <mergeCell ref="W29:Y29"/>
    <mergeCell ref="Z29:AB29"/>
    <mergeCell ref="W31:AE31"/>
    <mergeCell ref="K38:N38"/>
    <mergeCell ref="J38:J39"/>
    <mergeCell ref="J40:J41"/>
  </mergeCells>
  <phoneticPr fontId="8" type="noConversion"/>
  <conditionalFormatting sqref="C36:H36">
    <cfRule type="beginsWith" dxfId="1" priority="1" operator="beginsWith" text="NOT">
      <formula>LEFT(C36,LEN("NOT"))="NOT"</formula>
    </cfRule>
    <cfRule type="beginsWith" dxfId="0" priority="2" operator="beginsWith" text="OK">
      <formula>LEFT(C36,LEN("OK"))="OK"</formula>
    </cfRule>
  </conditionalFormatting>
  <dataValidations count="1">
    <dataValidation type="list" allowBlank="1" showInputMessage="1" showErrorMessage="1" sqref="C32:D32" xr:uid="{7A5F1A29-EBC5-4610-8928-5C169663E985}">
      <formula1>Bar_Diameter</formula1>
    </dataValidation>
  </dataValidations>
  <pageMargins left="0.7" right="0.7" top="0.75" bottom="0.75" header="0.3" footer="0.3"/>
  <pageSetup paperSize="9" orientation="portrait" r:id="rId1"/>
  <headerFooter>
    <oddHeader>&amp;L&amp;"Century Gothic"&amp;10&amp;K000000 Business&amp;1#_x000D_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BA131B-D958-4BBE-BE1C-05675412B0AD}">
          <x14:formula1>
            <xm:f>Lists!$B$3:$B$9</xm:f>
          </x14:formula1>
          <xm:sqref>D35:F35 G20:H20 C30:D31</xm:sqref>
        </x14:dataValidation>
        <x14:dataValidation type="list" allowBlank="1" showInputMessage="1" showErrorMessage="1" xr:uid="{547FABF2-3419-44C3-8793-49FA6E9A9E50}">
          <x14:formula1>
            <xm:f>Lists!$E$3:$E$12</xm:f>
          </x14:formula1>
          <xm:sqref>G35:H35</xm:sqref>
        </x14:dataValidation>
        <x14:dataValidation type="list" allowBlank="1" showInputMessage="1" showErrorMessage="1" xr:uid="{539E4584-3EAB-463D-B0E9-60F2C09C8B6D}">
          <x14:formula1>
            <xm:f>Lists!$F$1:$F$6</xm:f>
          </x14:formula1>
          <xm:sqref>C35</xm:sqref>
        </x14:dataValidation>
        <x14:dataValidation type="list" allowBlank="1" showInputMessage="1" showErrorMessage="1" xr:uid="{522A122C-A04B-4CB8-8C4B-4F270E426158}">
          <x14:formula1>
            <xm:f>Lists!$K$4:$K$5</xm:f>
          </x14:formula1>
          <xm:sqref>G21:H21 G23:H23 G25:H25 G27:H27 G29:H29 G31:H31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EED0-5CA7-40D6-9A7B-DFFD06130CE8}">
  <sheetPr codeName="Sheet3"/>
  <dimension ref="A2:Y90"/>
  <sheetViews>
    <sheetView topLeftCell="A24" zoomScale="85" zoomScaleNormal="85" workbookViewId="0">
      <selection activeCell="D32" sqref="D32"/>
    </sheetView>
  </sheetViews>
  <sheetFormatPr defaultRowHeight="14.5" x14ac:dyDescent="0.35"/>
  <cols>
    <col min="1" max="1" width="12" customWidth="1"/>
    <col min="2" max="2" width="71.453125" customWidth="1"/>
    <col min="3" max="3" width="25.54296875" customWidth="1"/>
    <col min="4" max="4" width="19.54296875" style="25" bestFit="1" customWidth="1"/>
    <col min="5" max="5" width="41" customWidth="1"/>
    <col min="6" max="6" width="38.453125" bestFit="1" customWidth="1"/>
    <col min="7" max="7" width="16.1796875" bestFit="1" customWidth="1"/>
    <col min="8" max="10" width="16.1796875" customWidth="1"/>
    <col min="11" max="11" width="16.453125" bestFit="1" customWidth="1"/>
    <col min="12" max="12" width="14.453125" bestFit="1" customWidth="1"/>
    <col min="13" max="13" width="9"/>
    <col min="14" max="32" width="14.453125" customWidth="1"/>
  </cols>
  <sheetData>
    <row r="2" spans="2:25" ht="17" thickBot="1" x14ac:dyDescent="0.4">
      <c r="L2" t="s">
        <v>100</v>
      </c>
      <c r="M2" s="104">
        <v>500</v>
      </c>
      <c r="N2" t="s">
        <v>101</v>
      </c>
    </row>
    <row r="3" spans="2:25" ht="73" thickBot="1" x14ac:dyDescent="0.4">
      <c r="B3" s="105" t="s">
        <v>102</v>
      </c>
      <c r="C3" s="105" t="s">
        <v>103</v>
      </c>
      <c r="D3" s="106" t="s">
        <v>104</v>
      </c>
      <c r="F3" s="12"/>
      <c r="G3" s="107" t="s">
        <v>17</v>
      </c>
      <c r="H3" s="108" t="s">
        <v>18</v>
      </c>
      <c r="I3" s="109" t="s">
        <v>19</v>
      </c>
      <c r="J3" s="110" t="s">
        <v>20</v>
      </c>
      <c r="K3" s="111" t="s">
        <v>105</v>
      </c>
      <c r="M3" s="112">
        <v>1</v>
      </c>
      <c r="N3" s="112">
        <v>2</v>
      </c>
      <c r="O3" s="112">
        <v>3</v>
      </c>
      <c r="P3" s="112">
        <v>4</v>
      </c>
      <c r="Q3" s="112">
        <v>5</v>
      </c>
      <c r="R3" s="112">
        <v>6</v>
      </c>
      <c r="S3" s="112">
        <v>7</v>
      </c>
      <c r="T3" s="112">
        <v>8</v>
      </c>
      <c r="U3" s="112">
        <v>9</v>
      </c>
      <c r="V3" s="112">
        <v>10</v>
      </c>
      <c r="W3" s="112">
        <v>11</v>
      </c>
      <c r="X3" s="112">
        <v>12</v>
      </c>
      <c r="Y3" s="112">
        <v>13</v>
      </c>
    </row>
    <row r="4" spans="2:25" ht="15" thickBot="1" x14ac:dyDescent="0.4">
      <c r="B4" s="113" t="s">
        <v>106</v>
      </c>
      <c r="C4" s="114" t="s">
        <v>107</v>
      </c>
      <c r="D4" s="115">
        <f>I4</f>
        <v>16</v>
      </c>
      <c r="E4" t="e" cm="1">
        <f t="array" aca="1" ref="E4" ca="1">wrform(D4)</f>
        <v>#NAME?</v>
      </c>
      <c r="F4" s="13" t="s">
        <v>26</v>
      </c>
      <c r="G4" s="116">
        <f>'Span Lookup'!C20</f>
        <v>25</v>
      </c>
      <c r="H4" s="117">
        <f>'Span Lookup'!D20</f>
        <v>32</v>
      </c>
      <c r="I4" s="117">
        <f>'Span Lookup'!E20</f>
        <v>16</v>
      </c>
      <c r="J4" s="118">
        <f>'Span Lookup'!F20</f>
        <v>0</v>
      </c>
      <c r="K4" s="119"/>
      <c r="M4" s="112" t="s">
        <v>108</v>
      </c>
      <c r="N4" s="112" t="s">
        <v>109</v>
      </c>
      <c r="O4" s="112" t="s">
        <v>110</v>
      </c>
      <c r="P4" s="112" t="s">
        <v>111</v>
      </c>
      <c r="Q4" s="112" t="s">
        <v>112</v>
      </c>
      <c r="R4" s="112" t="s">
        <v>113</v>
      </c>
      <c r="S4" s="112" t="s">
        <v>114</v>
      </c>
      <c r="T4" s="112" t="s">
        <v>115</v>
      </c>
      <c r="U4" s="112" t="s">
        <v>116</v>
      </c>
      <c r="V4" s="112" t="s">
        <v>117</v>
      </c>
      <c r="W4" s="112" t="s">
        <v>118</v>
      </c>
      <c r="X4" s="112" t="s">
        <v>119</v>
      </c>
      <c r="Y4" s="112" t="s">
        <v>120</v>
      </c>
    </row>
    <row r="5" spans="2:25" x14ac:dyDescent="0.35">
      <c r="B5" s="113" t="s">
        <v>121</v>
      </c>
      <c r="C5" s="114" t="s">
        <v>107</v>
      </c>
      <c r="D5" s="115">
        <f>I6</f>
        <v>0</v>
      </c>
      <c r="E5" t="e" cm="1">
        <f t="array" aca="1" ref="E5" ca="1">wrform(D5)</f>
        <v>#NAME?</v>
      </c>
      <c r="F5" s="14" t="s">
        <v>40</v>
      </c>
      <c r="G5" s="116">
        <f>'Span Lookup'!C21</f>
        <v>25</v>
      </c>
      <c r="H5" s="117">
        <f>'Span Lookup'!D21</f>
        <v>25</v>
      </c>
      <c r="I5" s="117">
        <f>'Span Lookup'!E21</f>
        <v>0</v>
      </c>
      <c r="J5" s="118">
        <f>'Span Lookup'!F21</f>
        <v>3.6</v>
      </c>
      <c r="K5" s="6" t="s">
        <v>122</v>
      </c>
      <c r="M5" s="112" t="s">
        <v>123</v>
      </c>
      <c r="N5" s="112" t="s">
        <v>123</v>
      </c>
      <c r="O5" s="112" t="s">
        <v>124</v>
      </c>
      <c r="P5" s="112" t="s">
        <v>125</v>
      </c>
      <c r="Q5" s="112" t="s">
        <v>126</v>
      </c>
      <c r="R5" s="112" t="s">
        <v>127</v>
      </c>
      <c r="S5" s="112" t="s">
        <v>128</v>
      </c>
      <c r="T5" s="112" t="s">
        <v>128</v>
      </c>
      <c r="U5" s="112" t="s">
        <v>129</v>
      </c>
      <c r="V5" s="112" t="s">
        <v>129</v>
      </c>
      <c r="W5" s="112" t="s">
        <v>129</v>
      </c>
      <c r="X5" s="112" t="s">
        <v>130</v>
      </c>
      <c r="Y5" s="112" t="s">
        <v>131</v>
      </c>
    </row>
    <row r="6" spans="2:25" ht="15" thickBot="1" x14ac:dyDescent="0.4">
      <c r="B6" s="113" t="s">
        <v>132</v>
      </c>
      <c r="C6" s="114" t="s">
        <v>107</v>
      </c>
      <c r="D6" s="115">
        <f>I8</f>
        <v>0</v>
      </c>
      <c r="E6" t="e" cm="1">
        <f t="array" aca="1" ref="E6" ca="1">wrform(D6)</f>
        <v>#NAME?</v>
      </c>
      <c r="F6" s="14" t="s">
        <v>46</v>
      </c>
      <c r="G6" s="116">
        <f>'Span Lookup'!C22</f>
        <v>0</v>
      </c>
      <c r="H6" s="117">
        <f>'Span Lookup'!D22</f>
        <v>0</v>
      </c>
      <c r="I6" s="117">
        <f>'Span Lookup'!E22</f>
        <v>0</v>
      </c>
      <c r="J6" s="118">
        <f>'Span Lookup'!F22</f>
        <v>0</v>
      </c>
      <c r="K6" s="19"/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</row>
    <row r="7" spans="2:25" x14ac:dyDescent="0.35">
      <c r="B7" s="113" t="s">
        <v>133</v>
      </c>
      <c r="C7" s="114" t="s">
        <v>107</v>
      </c>
      <c r="D7" s="115">
        <f>I10</f>
        <v>16</v>
      </c>
      <c r="E7" t="e" cm="1">
        <f t="array" aca="1" ref="E7" ca="1">wrform(D7)</f>
        <v>#NAME?</v>
      </c>
      <c r="F7" s="14" t="s">
        <v>49</v>
      </c>
      <c r="G7" s="116">
        <f>'Span Lookup'!C23</f>
        <v>0</v>
      </c>
      <c r="H7" s="117">
        <v>40</v>
      </c>
      <c r="I7" s="117">
        <f>'Span Lookup'!E23</f>
        <v>0</v>
      </c>
      <c r="J7" s="118">
        <f>'Span Lookup'!F23</f>
        <v>0</v>
      </c>
      <c r="K7" s="6" t="s">
        <v>122</v>
      </c>
      <c r="M7" s="112">
        <v>6</v>
      </c>
      <c r="N7" s="112">
        <v>8</v>
      </c>
      <c r="O7" s="112">
        <v>0.222</v>
      </c>
      <c r="P7" s="112">
        <v>28.274333882308138</v>
      </c>
      <c r="Q7" s="112">
        <v>63.617251235193308</v>
      </c>
      <c r="R7" s="112">
        <v>1.3041536503214627E-2</v>
      </c>
      <c r="S7" s="112">
        <v>21.205750411731103</v>
      </c>
      <c r="T7" s="112">
        <v>36</v>
      </c>
      <c r="U7" s="112">
        <v>9.2198914833613484E-3</v>
      </c>
      <c r="V7" s="112">
        <v>1.5652173913043476E-2</v>
      </c>
      <c r="W7" s="112">
        <v>1.0434782608695651E-2</v>
      </c>
      <c r="X7" s="112">
        <v>0</v>
      </c>
      <c r="Y7" s="112">
        <v>12</v>
      </c>
    </row>
    <row r="8" spans="2:25" ht="15" thickBot="1" x14ac:dyDescent="0.4">
      <c r="B8" s="113" t="s">
        <v>134</v>
      </c>
      <c r="C8" s="114" t="s">
        <v>107</v>
      </c>
      <c r="D8" s="115">
        <f>I12</f>
        <v>0</v>
      </c>
      <c r="E8" t="e" cm="1">
        <f t="array" aca="1" ref="E8" ca="1">wrform(D8)</f>
        <v>#NAME?</v>
      </c>
      <c r="F8" s="14" t="s">
        <v>51</v>
      </c>
      <c r="G8" s="116">
        <f>'Span Lookup'!C24</f>
        <v>0</v>
      </c>
      <c r="H8" s="117">
        <v>40</v>
      </c>
      <c r="I8" s="117">
        <f>'Span Lookup'!E24</f>
        <v>0</v>
      </c>
      <c r="J8" s="118">
        <f>'Span Lookup'!F24</f>
        <v>0</v>
      </c>
      <c r="K8" s="19"/>
      <c r="M8" s="112">
        <v>8</v>
      </c>
      <c r="N8" s="112">
        <v>11</v>
      </c>
      <c r="O8" s="112">
        <v>0.39500000000000002</v>
      </c>
      <c r="P8" s="112">
        <v>50.26548245743669</v>
      </c>
      <c r="Q8" s="112">
        <v>201.06192982974676</v>
      </c>
      <c r="R8" s="112">
        <v>4.1217695615098082E-2</v>
      </c>
      <c r="S8" s="112">
        <v>50.26548245743669</v>
      </c>
      <c r="T8" s="112">
        <v>85.333333333333329</v>
      </c>
      <c r="U8" s="112">
        <v>2.1854557590189866E-2</v>
      </c>
      <c r="V8" s="112">
        <v>3.7101449275362318E-2</v>
      </c>
      <c r="W8" s="112">
        <v>2.4734299516908212E-2</v>
      </c>
      <c r="X8" s="112">
        <v>0</v>
      </c>
      <c r="Y8" s="112">
        <v>16</v>
      </c>
    </row>
    <row r="9" spans="2:25" ht="15" thickBot="1" x14ac:dyDescent="0.4">
      <c r="B9" s="113" t="s">
        <v>135</v>
      </c>
      <c r="C9" s="114" t="s">
        <v>107</v>
      </c>
      <c r="D9" s="115">
        <f>I14</f>
        <v>0</v>
      </c>
      <c r="E9" t="e" cm="1">
        <f t="array" aca="1" ref="E9" ca="1">wrform(D9)</f>
        <v>#NAME?</v>
      </c>
      <c r="F9" s="15" t="s">
        <v>53</v>
      </c>
      <c r="G9" s="116">
        <f>'Span Lookup'!C25</f>
        <v>0</v>
      </c>
      <c r="H9" s="117">
        <v>40</v>
      </c>
      <c r="I9" s="117">
        <f>'Span Lookup'!E25</f>
        <v>0</v>
      </c>
      <c r="J9" s="118">
        <f>'Span Lookup'!F25</f>
        <v>0</v>
      </c>
      <c r="K9" s="6" t="s">
        <v>122</v>
      </c>
      <c r="M9" s="112">
        <v>10</v>
      </c>
      <c r="N9" s="112">
        <v>13</v>
      </c>
      <c r="O9" s="112">
        <v>0.61599999999999999</v>
      </c>
      <c r="P9" s="112">
        <v>78.539816339744831</v>
      </c>
      <c r="Q9" s="112">
        <v>490.87385212340519</v>
      </c>
      <c r="R9" s="112">
        <v>0.10062913968529807</v>
      </c>
      <c r="S9" s="112">
        <v>98.174770424681029</v>
      </c>
      <c r="T9" s="112">
        <v>166.66666666666666</v>
      </c>
      <c r="U9" s="112">
        <v>4.2684682793339576E-2</v>
      </c>
      <c r="V9" s="112">
        <v>7.2463768115942018E-2</v>
      </c>
      <c r="W9" s="112">
        <v>4.8309178743961345E-2</v>
      </c>
      <c r="X9" s="112">
        <v>0</v>
      </c>
      <c r="Y9" s="112">
        <v>20</v>
      </c>
    </row>
    <row r="10" spans="2:25" ht="53" thickBot="1" x14ac:dyDescent="0.4">
      <c r="B10" s="120" t="s">
        <v>136</v>
      </c>
      <c r="C10" s="121" t="s">
        <v>137</v>
      </c>
      <c r="D10" s="122">
        <f>VLOOKUP(H4,$M$6:$Y$16,3,FALSE)*I4*1.35*1.2*9.81/1000+VLOOKUP(H5,$M$6:$Y$16,3,FALSE)*J5*1.35*1.2*9.81/(1000*0.2)</f>
        <v>2.7077130360000004</v>
      </c>
      <c r="E10" t="e" cm="1">
        <f t="array" aca="1" ref="E10" ca="1">wrform(D10)</f>
        <v>#NAME?</v>
      </c>
      <c r="F10" s="14" t="s">
        <v>54</v>
      </c>
      <c r="G10" s="116">
        <f>'Span Lookup'!C26</f>
        <v>25</v>
      </c>
      <c r="H10" s="117">
        <f>'Span Lookup'!D26</f>
        <v>32</v>
      </c>
      <c r="I10" s="117">
        <f>'Span Lookup'!E26</f>
        <v>16</v>
      </c>
      <c r="J10" s="118">
        <f>'Span Lookup'!F26</f>
        <v>0</v>
      </c>
      <c r="K10" s="19"/>
      <c r="M10" s="112">
        <v>12</v>
      </c>
      <c r="N10" s="112">
        <v>14</v>
      </c>
      <c r="O10" s="112">
        <v>0.88800000000000001</v>
      </c>
      <c r="P10" s="112">
        <v>113.09733552923255</v>
      </c>
      <c r="Q10" s="112">
        <v>1017.8760197630929</v>
      </c>
      <c r="R10" s="112">
        <v>0.20866458405143404</v>
      </c>
      <c r="S10" s="112">
        <v>169.64600329384882</v>
      </c>
      <c r="T10" s="112">
        <v>288</v>
      </c>
      <c r="U10" s="112">
        <v>7.3759131866890787E-2</v>
      </c>
      <c r="V10" s="112">
        <v>0.12521739130434781</v>
      </c>
      <c r="W10" s="112">
        <v>8.347826086956521E-2</v>
      </c>
      <c r="X10" s="112">
        <v>0</v>
      </c>
      <c r="Y10" s="112">
        <v>24</v>
      </c>
    </row>
    <row r="11" spans="2:25" ht="69.650000000000006" customHeight="1" x14ac:dyDescent="0.35">
      <c r="B11" s="120" t="s">
        <v>138</v>
      </c>
      <c r="C11" s="123" t="s">
        <v>139</v>
      </c>
      <c r="D11" s="122">
        <f>VLOOKUP(H6,$M$6:$Y$16,3,FALSE)*I6*1.35*1.2*9.81/1000+VLOOKUP(H7,$M$6:$Y$16,3,FALSE)*J7*1.35*1.2*9.81/(1000*0.2)</f>
        <v>0</v>
      </c>
      <c r="E11" s="64" t="e" cm="1">
        <f t="array" aca="1" ref="E11" ca="1">wrform(D11)</f>
        <v>#NAME?</v>
      </c>
      <c r="F11" s="14" t="s">
        <v>58</v>
      </c>
      <c r="G11" s="116">
        <f>'Span Lookup'!C27</f>
        <v>25</v>
      </c>
      <c r="H11" s="117">
        <f>'Span Lookup'!D27</f>
        <v>25</v>
      </c>
      <c r="I11" s="117">
        <f>'Span Lookup'!E27</f>
        <v>0</v>
      </c>
      <c r="J11" s="118">
        <f>'Span Lookup'!F27</f>
        <v>3.6</v>
      </c>
      <c r="K11" s="6" t="s">
        <v>122</v>
      </c>
      <c r="M11" s="112">
        <v>16</v>
      </c>
      <c r="N11" s="112">
        <v>19</v>
      </c>
      <c r="O11" s="112">
        <v>1.579</v>
      </c>
      <c r="P11" s="112">
        <v>201.06192982974676</v>
      </c>
      <c r="Q11" s="112">
        <v>3216.9908772759482</v>
      </c>
      <c r="R11" s="112">
        <v>0.65948312984156932</v>
      </c>
      <c r="S11" s="112">
        <v>402.12385965949352</v>
      </c>
      <c r="T11" s="112">
        <v>682.66666666666663</v>
      </c>
      <c r="U11" s="112">
        <v>0.17483646072151893</v>
      </c>
      <c r="V11" s="112">
        <v>0.29681159420289854</v>
      </c>
      <c r="W11" s="112">
        <v>0.1978743961352657</v>
      </c>
      <c r="X11" s="112">
        <v>0</v>
      </c>
      <c r="Y11" s="112">
        <v>32</v>
      </c>
    </row>
    <row r="12" spans="2:25" ht="60.65" customHeight="1" thickBot="1" x14ac:dyDescent="0.4">
      <c r="B12" s="120" t="s">
        <v>140</v>
      </c>
      <c r="C12" s="123" t="s">
        <v>141</v>
      </c>
      <c r="D12" s="122">
        <f>VLOOKUP(H8,$M$6:$Y$16,3,FALSE)*I8*1.35*1.2*9.81/1000+VLOOKUP(H9,$M$6:$Y$16,3,FALSE)*J9*1.35*1.2*9.81/(1000*0.2)</f>
        <v>0</v>
      </c>
      <c r="E12" s="64" t="e" cm="1">
        <f t="array" aca="1" ref="E12" ca="1">wrform(D12)</f>
        <v>#NAME?</v>
      </c>
      <c r="F12" s="14" t="s">
        <v>59</v>
      </c>
      <c r="G12" s="116">
        <f>'Span Lookup'!C28</f>
        <v>0</v>
      </c>
      <c r="H12" s="117">
        <f>'Span Lookup'!D28</f>
        <v>0</v>
      </c>
      <c r="I12" s="117">
        <f>'Span Lookup'!E28</f>
        <v>0</v>
      </c>
      <c r="J12" s="118">
        <f>'Span Lookup'!F28</f>
        <v>0</v>
      </c>
      <c r="K12" s="19"/>
      <c r="M12" s="112">
        <v>20</v>
      </c>
      <c r="N12" s="112">
        <v>23</v>
      </c>
      <c r="O12" s="112">
        <v>2.4660000000000002</v>
      </c>
      <c r="P12" s="112">
        <v>314.15926535897933</v>
      </c>
      <c r="Q12" s="112">
        <v>7853.981633974483</v>
      </c>
      <c r="R12" s="112">
        <v>1.6100662349647692</v>
      </c>
      <c r="S12" s="112">
        <v>785.39816339744823</v>
      </c>
      <c r="T12" s="112">
        <v>1333.3333333333333</v>
      </c>
      <c r="U12" s="112">
        <v>0.34147746234671661</v>
      </c>
      <c r="V12" s="112">
        <v>0.57971014492753614</v>
      </c>
      <c r="W12" s="112">
        <v>0.38647342995169076</v>
      </c>
      <c r="X12" s="112">
        <v>79.400000000000006</v>
      </c>
      <c r="Y12" s="112">
        <v>70</v>
      </c>
    </row>
    <row r="13" spans="2:25" x14ac:dyDescent="0.35">
      <c r="B13" s="124" t="s">
        <v>142</v>
      </c>
      <c r="C13" s="114" t="s">
        <v>143</v>
      </c>
      <c r="D13" s="125">
        <f>D10*1.3/1.2</f>
        <v>2.9333557890000006</v>
      </c>
      <c r="E13" t="e" cm="1">
        <f t="array" aca="1" ref="E13" ca="1">wrform(D13)</f>
        <v>#NAME?</v>
      </c>
      <c r="F13" s="14" t="s">
        <v>62</v>
      </c>
      <c r="G13" s="116">
        <f>'Span Lookup'!C29</f>
        <v>0</v>
      </c>
      <c r="H13" s="117">
        <f>'Span Lookup'!D29</f>
        <v>0</v>
      </c>
      <c r="I13" s="117">
        <f>'Span Lookup'!E29</f>
        <v>0</v>
      </c>
      <c r="J13" s="118">
        <f>'Span Lookup'!F29</f>
        <v>0</v>
      </c>
      <c r="K13" s="6" t="s">
        <v>122</v>
      </c>
      <c r="M13" s="112">
        <v>25</v>
      </c>
      <c r="N13" s="112">
        <v>29</v>
      </c>
      <c r="O13" s="112">
        <v>3.8540000000000001</v>
      </c>
      <c r="P13" s="112">
        <v>490.87385212340519</v>
      </c>
      <c r="Q13" s="112">
        <v>19174.759848570513</v>
      </c>
      <c r="R13" s="112">
        <v>3.930825768956955</v>
      </c>
      <c r="S13" s="112">
        <v>1533.9807878856411</v>
      </c>
      <c r="T13" s="112">
        <v>2604.1666666666665</v>
      </c>
      <c r="U13" s="112">
        <v>0.66694816864593098</v>
      </c>
      <c r="V13" s="112">
        <v>1.1322463768115942</v>
      </c>
      <c r="W13" s="112">
        <v>0.75483091787439616</v>
      </c>
      <c r="X13" s="112">
        <v>119.1</v>
      </c>
      <c r="Y13" s="112">
        <v>87</v>
      </c>
    </row>
    <row r="14" spans="2:25" ht="28.5" customHeight="1" thickBot="1" x14ac:dyDescent="0.4">
      <c r="B14" s="124" t="s">
        <v>144</v>
      </c>
      <c r="C14" s="114" t="s">
        <v>145</v>
      </c>
      <c r="D14" s="125">
        <f>D11*1.3/1.2</f>
        <v>0</v>
      </c>
      <c r="E14" t="e" cm="1">
        <f t="array" aca="1" ref="E14" ca="1">wrform(D14)</f>
        <v>#NAME?</v>
      </c>
      <c r="F14" s="14" t="s">
        <v>65</v>
      </c>
      <c r="G14" s="116">
        <f>'Span Lookup'!C30</f>
        <v>0</v>
      </c>
      <c r="H14" s="117">
        <v>40</v>
      </c>
      <c r="I14" s="117">
        <f>'Span Lookup'!E30</f>
        <v>0</v>
      </c>
      <c r="J14" s="118">
        <f>'Span Lookup'!F30</f>
        <v>0</v>
      </c>
      <c r="K14" s="19"/>
      <c r="M14" s="112">
        <v>32</v>
      </c>
      <c r="N14" s="112">
        <v>37</v>
      </c>
      <c r="O14" s="112">
        <v>6.3129999999999997</v>
      </c>
      <c r="P14" s="112">
        <v>804.24771931898704</v>
      </c>
      <c r="Q14" s="112">
        <v>51471.85403641517</v>
      </c>
      <c r="R14" s="112">
        <v>10.551730077465109</v>
      </c>
      <c r="S14" s="112">
        <v>3216.9908772759482</v>
      </c>
      <c r="T14" s="112">
        <v>5461.333333333333</v>
      </c>
      <c r="U14" s="112">
        <v>1.3986916857721514</v>
      </c>
      <c r="V14" s="112">
        <v>2.3744927536231883</v>
      </c>
      <c r="W14" s="112">
        <v>1.5829951690821256</v>
      </c>
      <c r="X14" s="112">
        <v>138.9</v>
      </c>
      <c r="Y14" s="112">
        <v>112</v>
      </c>
    </row>
    <row r="15" spans="2:25" ht="15" thickBot="1" x14ac:dyDescent="0.4">
      <c r="B15" s="124" t="s">
        <v>146</v>
      </c>
      <c r="C15" s="114" t="s">
        <v>147</v>
      </c>
      <c r="D15" s="125">
        <f>D12*1.3/1.2</f>
        <v>0</v>
      </c>
      <c r="E15" t="e" cm="1">
        <f t="array" aca="1" ref="E15" ca="1">wrform(D15)</f>
        <v>#NAME?</v>
      </c>
      <c r="F15" s="15" t="s">
        <v>68</v>
      </c>
      <c r="G15" s="126">
        <f>'Span Lookup'!C31</f>
        <v>0</v>
      </c>
      <c r="H15" s="127">
        <v>40</v>
      </c>
      <c r="I15" s="127">
        <f>'Span Lookup'!E31</f>
        <v>0</v>
      </c>
      <c r="J15" s="128">
        <f>'Span Lookup'!F31</f>
        <v>0</v>
      </c>
      <c r="K15" s="6" t="s">
        <v>122</v>
      </c>
      <c r="M15" s="112">
        <v>40</v>
      </c>
      <c r="N15" s="112">
        <v>46</v>
      </c>
      <c r="O15" s="112">
        <v>9.8640000000000008</v>
      </c>
      <c r="P15" s="112">
        <v>1256.6370614359173</v>
      </c>
      <c r="Q15" s="112">
        <v>125663.70614359173</v>
      </c>
      <c r="R15" s="112">
        <v>25.761059759436307</v>
      </c>
      <c r="S15" s="112">
        <v>6283.1853071795858</v>
      </c>
      <c r="T15" s="112">
        <v>10666.666666666666</v>
      </c>
      <c r="U15" s="112">
        <v>2.7318196987737329</v>
      </c>
      <c r="V15" s="112">
        <v>4.6376811594202891</v>
      </c>
      <c r="W15" s="112">
        <v>3.0917874396135261</v>
      </c>
      <c r="X15" s="112">
        <v>138.9</v>
      </c>
      <c r="Y15" s="112">
        <v>140</v>
      </c>
    </row>
    <row r="16" spans="2:25" ht="27.25" customHeight="1" thickBot="1" x14ac:dyDescent="0.4">
      <c r="B16" s="129" t="s">
        <v>148</v>
      </c>
      <c r="C16" s="130" t="s">
        <v>149</v>
      </c>
      <c r="D16" s="131">
        <f>(D13+D14+D15)*(1+G17)</f>
        <v>3.8426960835900008</v>
      </c>
      <c r="E16" t="e" cm="1">
        <f t="array" aca="1" ref="E16" ca="1">wrform(D16)</f>
        <v>#NAME?</v>
      </c>
      <c r="M16" s="112">
        <v>50</v>
      </c>
      <c r="N16" s="112">
        <v>57</v>
      </c>
      <c r="O16" s="112">
        <v>15.413</v>
      </c>
      <c r="P16" s="112">
        <v>1963.4954084936207</v>
      </c>
      <c r="Q16" s="112">
        <v>306796.15757712821</v>
      </c>
      <c r="R16" s="112">
        <v>62.89321230331128</v>
      </c>
      <c r="S16" s="112">
        <v>12271.846303085129</v>
      </c>
      <c r="T16" s="112">
        <v>20833.333333333332</v>
      </c>
      <c r="U16" s="112">
        <v>5.3355853491674479</v>
      </c>
      <c r="V16" s="112">
        <v>9.0579710144927539</v>
      </c>
      <c r="W16" s="112">
        <v>6.0386473429951693</v>
      </c>
      <c r="X16" s="112">
        <v>0</v>
      </c>
      <c r="Y16" s="112">
        <v>175</v>
      </c>
    </row>
    <row r="17" spans="1:11" ht="54.65" customHeight="1" thickBot="1" x14ac:dyDescent="0.4">
      <c r="B17" s="120" t="s">
        <v>150</v>
      </c>
      <c r="C17" s="123" t="s">
        <v>151</v>
      </c>
      <c r="D17" s="122">
        <f>VLOOKUP(H10,$M$6:$Y$16,3,FALSE)*I10*1.35*1.2*9.81/1000+VLOOKUP(H11,$M$6:$Y$16,3,FALSE)*J11*1.35*1.2*9.81/(1000*0.2)</f>
        <v>2.7077130360000004</v>
      </c>
      <c r="E17" t="e" cm="1">
        <f t="array" aca="1" ref="E17" ca="1">wrform(D17)</f>
        <v>#NAME?</v>
      </c>
      <c r="F17" s="15" t="s">
        <v>73</v>
      </c>
      <c r="G17" s="9">
        <f>'Span Lookup'!C33</f>
        <v>0.31</v>
      </c>
      <c r="H17" s="176" t="s">
        <v>74</v>
      </c>
      <c r="I17" s="177"/>
      <c r="J17" s="177"/>
      <c r="K17" s="178"/>
    </row>
    <row r="18" spans="1:11" ht="58.5" thickBot="1" x14ac:dyDescent="0.4">
      <c r="B18" s="120" t="s">
        <v>152</v>
      </c>
      <c r="C18" s="123" t="s">
        <v>153</v>
      </c>
      <c r="D18" s="122">
        <f>VLOOKUP(H12,$M$6:$Y$16,3,FALSE)*I12*1.35*1.2*9.81/1000+VLOOKUP(H13,$M$6:$Y$16,3,FALSE)*J13*1.35*1.2*9.81/(1000*0.2)</f>
        <v>0</v>
      </c>
      <c r="E18" t="e" cm="1">
        <f t="array" aca="1" ref="E18" ca="1">wrform(D18)</f>
        <v>#NAME?</v>
      </c>
      <c r="F18" s="22" t="s">
        <v>154</v>
      </c>
      <c r="G18" s="23">
        <f>'Span Lookup'!C35</f>
        <v>0.5</v>
      </c>
      <c r="H18" s="132" t="s">
        <v>77</v>
      </c>
      <c r="I18" s="132" t="s">
        <v>78</v>
      </c>
      <c r="J18" s="132" t="s">
        <v>79</v>
      </c>
      <c r="K18" s="71" t="s">
        <v>80</v>
      </c>
    </row>
    <row r="19" spans="1:11" ht="15" thickBot="1" x14ac:dyDescent="0.4">
      <c r="B19" s="120" t="s">
        <v>155</v>
      </c>
      <c r="C19" s="123" t="s">
        <v>156</v>
      </c>
      <c r="D19" s="122">
        <f>VLOOKUP(H14,$M$6:$Y$16,3,FALSE)*I14*1.35*1.2*9.81/1000+VLOOKUP(H15,$M$6:$Y$16,3,FALSE)*J15*1.35*1.2*9.81/(1000*0.2)</f>
        <v>0</v>
      </c>
      <c r="E19" s="64" t="e" cm="1">
        <f t="array" aca="1" ref="E19" ca="1">wrform(D19)</f>
        <v>#NAME?</v>
      </c>
      <c r="F19" s="22" t="s">
        <v>157</v>
      </c>
      <c r="G19" s="133">
        <f>D35</f>
        <v>2</v>
      </c>
      <c r="H19" s="23">
        <f>'Span Lookup'!D35</f>
        <v>12</v>
      </c>
      <c r="I19" s="23">
        <f>'Span Lookup'!E35</f>
        <v>12</v>
      </c>
      <c r="J19" s="23">
        <f>'Span Lookup'!F35</f>
        <v>12</v>
      </c>
      <c r="K19" s="23">
        <f>'Span Lookup'!G35</f>
        <v>6</v>
      </c>
    </row>
    <row r="20" spans="1:11" ht="15" thickBot="1" x14ac:dyDescent="0.4">
      <c r="B20" s="124" t="s">
        <v>158</v>
      </c>
      <c r="C20" s="114" t="s">
        <v>159</v>
      </c>
      <c r="D20" s="125">
        <f>D17*1.3/1.2</f>
        <v>2.9333557890000006</v>
      </c>
      <c r="E20" s="64" t="e" cm="1">
        <f t="array" aca="1" ref="E20" ca="1">wrform(D20)</f>
        <v>#NAME?</v>
      </c>
      <c r="F20" s="11" t="s">
        <v>87</v>
      </c>
      <c r="G20" s="72" t="str">
        <f>D38</f>
        <v>OK</v>
      </c>
      <c r="H20" s="73" t="str">
        <f>D60</f>
        <v>OK</v>
      </c>
      <c r="I20" s="73" t="str">
        <f>D75</f>
        <v>OK</v>
      </c>
      <c r="J20" s="115" t="str">
        <f>D90</f>
        <v>OK</v>
      </c>
      <c r="K20" s="69"/>
    </row>
    <row r="21" spans="1:11" x14ac:dyDescent="0.35">
      <c r="B21" s="124" t="s">
        <v>160</v>
      </c>
      <c r="C21" s="114" t="s">
        <v>161</v>
      </c>
      <c r="D21" s="125">
        <f t="shared" ref="D21:D22" si="0">D18*1.3/1.2</f>
        <v>0</v>
      </c>
      <c r="E21" s="64" t="e" cm="1">
        <f t="array" aca="1" ref="E21" ca="1">wrform(D21)</f>
        <v>#NAME?</v>
      </c>
    </row>
    <row r="22" spans="1:11" x14ac:dyDescent="0.35">
      <c r="B22" s="124" t="s">
        <v>162</v>
      </c>
      <c r="C22" s="114" t="s">
        <v>163</v>
      </c>
      <c r="D22" s="125">
        <f t="shared" si="0"/>
        <v>0</v>
      </c>
      <c r="E22" s="64" t="e" cm="1">
        <f t="array" aca="1" ref="E22" ca="1">wrform(D22)</f>
        <v>#NAME?</v>
      </c>
    </row>
    <row r="23" spans="1:11" x14ac:dyDescent="0.35">
      <c r="B23" s="129" t="s">
        <v>164</v>
      </c>
      <c r="C23" s="130" t="s">
        <v>165</v>
      </c>
      <c r="D23" s="131">
        <f>(D20+D21+D22)*(1+G17)</f>
        <v>3.8426960835900008</v>
      </c>
      <c r="E23" s="64" t="e" cm="1">
        <f t="array" aca="1" ref="E23" ca="1">wrform(D23)</f>
        <v>#NAME?</v>
      </c>
    </row>
    <row r="24" spans="1:11" ht="87.65" customHeight="1" x14ac:dyDescent="0.35">
      <c r="B24" s="124" t="s">
        <v>166</v>
      </c>
      <c r="C24" s="134" t="s">
        <v>167</v>
      </c>
      <c r="D24" s="125">
        <f>D13+(D13+D14+D15)*G17</f>
        <v>3.8426960835900008</v>
      </c>
      <c r="E24" s="64" t="e" cm="1">
        <f t="array" aca="1" ref="E24" ca="1">wrform(D24)</f>
        <v>#NAME?</v>
      </c>
    </row>
    <row r="25" spans="1:11" ht="26.5" x14ac:dyDescent="0.35">
      <c r="B25" s="124" t="s">
        <v>168</v>
      </c>
      <c r="C25" s="134" t="s">
        <v>169</v>
      </c>
      <c r="D25" s="125">
        <f>D20+(D20+D21+D22)*G17</f>
        <v>3.8426960835900008</v>
      </c>
      <c r="E25" s="64" t="e" cm="1">
        <f t="array" aca="1" ref="E25" ca="1">wrform(D25)</f>
        <v>#NAME?</v>
      </c>
    </row>
    <row r="26" spans="1:11" ht="49.5" x14ac:dyDescent="0.35">
      <c r="A26" s="104" t="s">
        <v>170</v>
      </c>
      <c r="B26" s="135" t="s">
        <v>171</v>
      </c>
      <c r="C26" s="134" t="s">
        <v>172</v>
      </c>
      <c r="D26" s="122">
        <f>((VLOOKUP(G4,$M$6:$Y$16,11,FALSE)*2*11.24)/D24)^0.5</f>
        <v>2.1013818402953892</v>
      </c>
      <c r="E26" s="64" t="e" cm="1">
        <f t="array" aca="1" ref="E26" ca="1">wrform(D26)</f>
        <v>#NAME?</v>
      </c>
    </row>
    <row r="27" spans="1:11" ht="49.5" x14ac:dyDescent="0.35">
      <c r="A27" s="104" t="s">
        <v>170</v>
      </c>
      <c r="B27" s="135" t="s">
        <v>173</v>
      </c>
      <c r="C27" s="134" t="s">
        <v>174</v>
      </c>
      <c r="D27" s="125" t="str">
        <f>IF(SUM(G6,G7)=0,"NO BARS",((VLOOKUP(G6,$M$6:$Y$16,11,FALSE)*2*11.24)/D14)^0.5)</f>
        <v>NO BARS</v>
      </c>
      <c r="E27" s="64" t="e" cm="1">
        <f t="array" aca="1" ref="E27" ca="1">wrform(D27)</f>
        <v>#NAME?</v>
      </c>
    </row>
    <row r="28" spans="1:11" ht="49.5" x14ac:dyDescent="0.35">
      <c r="A28" s="104" t="s">
        <v>170</v>
      </c>
      <c r="B28" s="135" t="s">
        <v>175</v>
      </c>
      <c r="C28" s="134" t="s">
        <v>176</v>
      </c>
      <c r="D28" s="125" t="str">
        <f>IF(SUM(G8,G9)=0,"NO BARS",((VLOOKUP(G8,$M$6:$Y$16,11,FALSE)*2*11.24)/D15)^0.5)</f>
        <v>NO BARS</v>
      </c>
      <c r="E28" s="64" t="e" cm="1">
        <f t="array" aca="1" ref="E28" ca="1">wrform(D28)</f>
        <v>#NAME?</v>
      </c>
    </row>
    <row r="29" spans="1:11" ht="26.5" x14ac:dyDescent="0.35">
      <c r="B29" s="136" t="s">
        <v>177</v>
      </c>
      <c r="C29" s="137" t="s">
        <v>178</v>
      </c>
      <c r="D29" s="138">
        <f>MIN(D26,D27,D28)</f>
        <v>2.1013818402953892</v>
      </c>
      <c r="E29" s="64" t="e" cm="1">
        <f t="array" aca="1" ref="E29" ca="1">wrform(D29)</f>
        <v>#NAME?</v>
      </c>
    </row>
    <row r="30" spans="1:11" ht="49.5" x14ac:dyDescent="0.35">
      <c r="A30" s="104" t="s">
        <v>170</v>
      </c>
      <c r="B30" s="139" t="s">
        <v>179</v>
      </c>
      <c r="C30" s="134" t="s">
        <v>180</v>
      </c>
      <c r="D30" s="122">
        <f>((IFERROR(VLOOKUP(G10,$M$6:$Y$16,11,FALSE)*2,0))*11.24/D25)^0.5</f>
        <v>2.1013818402953892</v>
      </c>
      <c r="E30" s="64" t="e" cm="1">
        <f t="array" aca="1" ref="E30" ca="1">wrform(D30)</f>
        <v>#NAME?</v>
      </c>
    </row>
    <row r="31" spans="1:11" ht="49.5" x14ac:dyDescent="0.35">
      <c r="A31" s="104" t="s">
        <v>170</v>
      </c>
      <c r="B31" s="139" t="s">
        <v>181</v>
      </c>
      <c r="C31" s="134" t="s">
        <v>182</v>
      </c>
      <c r="D31" s="125" t="str">
        <f>IF(SUM(G12,G13)=0,"NO BARS",((VLOOKUP(G12,$M$6:$Y$16,11,FALSE)*2*11.24)/D18)^0.5)</f>
        <v>NO BARS</v>
      </c>
      <c r="E31" s="64" t="e" cm="1">
        <f t="array" aca="1" ref="E31" ca="1">wrform(D31)</f>
        <v>#NAME?</v>
      </c>
    </row>
    <row r="32" spans="1:11" ht="49.5" x14ac:dyDescent="0.35">
      <c r="A32" s="104" t="s">
        <v>170</v>
      </c>
      <c r="B32" s="139" t="s">
        <v>183</v>
      </c>
      <c r="C32" s="134" t="s">
        <v>184</v>
      </c>
      <c r="D32" s="125" t="str">
        <f>IF(SUM(G14,G15)=0,"NO BARS",((VLOOKUP(G14,$M$6:$Y$16,11,FALSE)*2*11.24)/D19)^0.5)</f>
        <v>NO BARS</v>
      </c>
      <c r="E32" s="64" t="e" cm="1">
        <f t="array" aca="1" ref="E32" ca="1">wrform(D32)</f>
        <v>#NAME?</v>
      </c>
    </row>
    <row r="33" spans="2:5" ht="26.5" x14ac:dyDescent="0.35">
      <c r="B33" s="140" t="s">
        <v>185</v>
      </c>
      <c r="C33" s="137" t="s">
        <v>178</v>
      </c>
      <c r="D33" s="141">
        <f>MIN(D30,D31,D32)</f>
        <v>2.1013818402953892</v>
      </c>
      <c r="E33" s="64" t="e" cm="1">
        <f t="array" aca="1" ref="E33" ca="1">wrform(D33)</f>
        <v>#NAME?</v>
      </c>
    </row>
    <row r="34" spans="2:5" ht="26.5" x14ac:dyDescent="0.35">
      <c r="B34" s="140" t="s">
        <v>186</v>
      </c>
      <c r="C34" s="142" t="s">
        <v>187</v>
      </c>
      <c r="D34" s="141">
        <f>MIN(D29,D33)</f>
        <v>2.1013818402953892</v>
      </c>
      <c r="E34" s="64" t="e" cm="1">
        <f t="array" aca="1" ref="E34" ca="1">wrform(D34)</f>
        <v>#NAME?</v>
      </c>
    </row>
    <row r="35" spans="2:5" ht="26" x14ac:dyDescent="0.35">
      <c r="B35" s="143" t="s">
        <v>188</v>
      </c>
      <c r="C35" s="144" t="s">
        <v>189</v>
      </c>
      <c r="D35" s="145">
        <f xml:space="preserve"> FLOOR(D34,0.2)</f>
        <v>2</v>
      </c>
      <c r="E35" s="64" t="e" cm="1">
        <f t="array" aca="1" ref="E35" ca="1">wrform(D35)</f>
        <v>#NAME?</v>
      </c>
    </row>
    <row r="36" spans="2:5" ht="52.5" x14ac:dyDescent="0.35">
      <c r="B36" s="139" t="s">
        <v>190</v>
      </c>
      <c r="C36" s="146" t="s">
        <v>191</v>
      </c>
      <c r="D36" s="147">
        <f>D24*D35*1.1</f>
        <v>8.4539313838980021</v>
      </c>
      <c r="E36" s="64" t="e" cm="1">
        <f t="array" aca="1" ref="E36" ca="1">wrform(D36)</f>
        <v>#NAME?</v>
      </c>
    </row>
    <row r="37" spans="2:5" ht="52.5" x14ac:dyDescent="0.35">
      <c r="B37" s="139" t="s">
        <v>192</v>
      </c>
      <c r="C37" s="146" t="s">
        <v>193</v>
      </c>
      <c r="D37" s="147">
        <f>D25*D35*1.1</f>
        <v>8.4539313838980021</v>
      </c>
      <c r="E37" s="64" t="e" cm="1">
        <f t="array" aca="1" ref="E37" ca="1">wrform(D37)</f>
        <v>#NAME?</v>
      </c>
    </row>
    <row r="38" spans="2:5" ht="48.25" customHeight="1" x14ac:dyDescent="0.35">
      <c r="B38" s="139" t="s">
        <v>194</v>
      </c>
      <c r="C38" s="146" t="s">
        <v>195</v>
      </c>
      <c r="D38" s="115" t="str">
        <f>IF(AND(OR(D36&lt;VLOOKUP(G4,$M$6:$Y$16,12,FALSE),G4=0),OR(D37&lt;VLOOKUP(G10,$M$6:$Y$16,12,FALSE),G10=0)),"OK", "NOT OK")</f>
        <v>OK</v>
      </c>
      <c r="E38" s="64" t="e" cm="1">
        <f t="array" aca="1" ref="E38" ca="1">wrform(D38)</f>
        <v>#NAME?</v>
      </c>
    </row>
    <row r="39" spans="2:5" ht="48.25" customHeight="1" x14ac:dyDescent="0.35">
      <c r="B39" s="148"/>
      <c r="C39" s="149"/>
      <c r="E39" s="64" t="str" cm="1">
        <f t="array" ref="E39">wrform(D39)</f>
        <v/>
      </c>
    </row>
    <row r="40" spans="2:5" x14ac:dyDescent="0.35">
      <c r="C40" s="150"/>
      <c r="E40" s="64" t="str" cm="1">
        <f t="array" ref="E40">wrform(D40)</f>
        <v/>
      </c>
    </row>
    <row r="41" spans="2:5" ht="39.5" x14ac:dyDescent="0.35">
      <c r="B41" s="139" t="s">
        <v>196</v>
      </c>
      <c r="C41" s="134" t="s">
        <v>197</v>
      </c>
      <c r="D41" s="115">
        <f>COUNTIF(G4:G15,"&gt;0")</f>
        <v>4</v>
      </c>
      <c r="E41" s="64" t="e" cm="1">
        <f t="array" aca="1" ref="E41" ca="1">wrform(D41)</f>
        <v>#NAME?</v>
      </c>
    </row>
    <row r="42" spans="2:5" ht="102.65" customHeight="1" x14ac:dyDescent="0.35">
      <c r="B42" s="113" t="s">
        <v>198</v>
      </c>
      <c r="C42" s="146" t="s">
        <v>199</v>
      </c>
      <c r="D42" s="115">
        <f>(G18*1000)-2*(60+19)-(D41-2)*8-VLOOKUP(G4,$M$6:$N$16,2,FALSE)-VLOOKUP(G5,$M$6:$N$16,2,FALSE)-VLOOKUP(G6,$M$6:$N$16,2,FALSE)-VLOOKUP(G7,$M$6:$N$16,2,FALSE)-VLOOKUP(G8,$M$6:$N$16,2,FALSE)-VLOOKUP(G9,$M$6:$N$16,2,FALSE)-VLOOKUP(G10,$M$6:$N$16,2,FALSE)-VLOOKUP(G11,$M$6:$N$16,2,FALSE)-VLOOKUP(G12,$M$6:$N$16,2,FALSE)-VLOOKUP(G13,$M$6:$N$16,2,FALSE)-VLOOKUP(G14,$M$6:$N$16,2,FALSE)-VLOOKUP(G15,$M$6:$N$16,2,FALSE)</f>
        <v>210</v>
      </c>
      <c r="E42" s="64" t="e" cm="1">
        <f t="array" aca="1" ref="E42" ca="1">wrform(D42)</f>
        <v>#NAME?</v>
      </c>
    </row>
    <row r="43" spans="2:5" ht="78.5" x14ac:dyDescent="0.35">
      <c r="B43" s="113" t="s">
        <v>200</v>
      </c>
      <c r="C43" s="146" t="s">
        <v>201</v>
      </c>
      <c r="D43" s="115">
        <f>(G18*1000)-2*(60+19)-((D41-2)*42)-VLOOKUP(G4,$M$6:$N$16,2,FALSE)-VLOOKUP(G5,$M$6:$N$16,2,FALSE)-VLOOKUP(G6,$M$6:$N$16,2,FALSE)-VLOOKUP(G7,$M$6:$N$16,2,FALSE)-VLOOKUP(G8,$M$6:$N$16,2,FALSE)-VLOOKUP(G9,$M$6:$N$16,2,FALSE)-VLOOKUP(G10,$M$6:$N$16,2,FALSE)-VLOOKUP(G11,$M$6:$N$16,2,FALSE)-VLOOKUP(G12,$M$6:$N$16,2,FALSE)-VLOOKUP(G13,$M$6:$N$16,2,FALSE)-VLOOKUP(G14,$M$6:$N$16,2,FALSE)-VLOOKUP(G15,$M$6:$N$16,2,FALSE)</f>
        <v>142</v>
      </c>
      <c r="E43" s="64" t="e" cm="1">
        <f t="array" aca="1" ref="E43" ca="1">wrform(D43)</f>
        <v>#NAME?</v>
      </c>
    </row>
    <row r="44" spans="2:5" ht="50.25" customHeight="1" x14ac:dyDescent="0.35">
      <c r="B44" s="113" t="s">
        <v>202</v>
      </c>
      <c r="C44" s="146" t="s">
        <v>203</v>
      </c>
      <c r="D44" s="115">
        <f>H19</f>
        <v>12</v>
      </c>
      <c r="E44" s="64" t="e" cm="1">
        <f t="array" aca="1" ref="E44" ca="1">wrform(D44)</f>
        <v>#NAME?</v>
      </c>
    </row>
    <row r="45" spans="2:5" ht="49.75" customHeight="1" x14ac:dyDescent="0.35">
      <c r="B45" s="113" t="s">
        <v>204</v>
      </c>
      <c r="C45" s="146" t="s">
        <v>205</v>
      </c>
      <c r="D45" s="115">
        <f>(3000^2-(D42/2)^2)^0.5</f>
        <v>2998.161936920686</v>
      </c>
      <c r="E45" s="64" t="e" cm="1">
        <f t="array" aca="1" ref="E45" ca="1">wrform(D45)</f>
        <v>#NAME?</v>
      </c>
    </row>
    <row r="46" spans="2:5" ht="49.75" customHeight="1" x14ac:dyDescent="0.35">
      <c r="B46" s="113" t="s">
        <v>206</v>
      </c>
      <c r="C46" s="146" t="s">
        <v>205</v>
      </c>
      <c r="D46" s="115">
        <f>(6000^2-(D42/2)^2)^0.5</f>
        <v>5999.08117964743</v>
      </c>
      <c r="E46" s="64" t="e" cm="1">
        <f t="array" aca="1" ref="E46" ca="1">wrform(D46)</f>
        <v>#NAME?</v>
      </c>
    </row>
    <row r="47" spans="2:5" ht="40.5" x14ac:dyDescent="0.45">
      <c r="B47" s="113" t="s">
        <v>207</v>
      </c>
      <c r="C47" s="146" t="s">
        <v>208</v>
      </c>
      <c r="D47" s="151">
        <f xml:space="preserve"> MAX(D36,D37)*((D42/2)/D45)*1.2/1.3</f>
        <v>0.273294458092387</v>
      </c>
      <c r="E47" s="64" t="e" cm="1">
        <f t="array" aca="1" ref="E47" ca="1">wrform(D47)</f>
        <v>#NAME?</v>
      </c>
    </row>
    <row r="48" spans="2:5" ht="40.5" x14ac:dyDescent="0.45">
      <c r="B48" s="113" t="s">
        <v>209</v>
      </c>
      <c r="C48" s="146" t="s">
        <v>208</v>
      </c>
      <c r="D48" s="152">
        <f xml:space="preserve"> MAX(D36,D37)*((D42/2)/D46)</f>
        <v>0.14796645831711494</v>
      </c>
      <c r="E48" s="64" t="e" cm="1">
        <f t="array" aca="1" ref="E48" ca="1">wrform(D48)</f>
        <v>#NAME?</v>
      </c>
    </row>
    <row r="49" spans="2:5" ht="39.5" x14ac:dyDescent="0.35">
      <c r="B49" s="113" t="s">
        <v>210</v>
      </c>
      <c r="C49" s="146" t="s">
        <v>211</v>
      </c>
      <c r="D49" s="115">
        <f>D42-2*(VLOOKUP(D44,$M$6:$Y$16,2,FALSE)+VLOOKUP(D44,$M$6:$Y$16,13,FALSE))</f>
        <v>134</v>
      </c>
      <c r="E49" s="64" t="e" cm="1">
        <f t="array" aca="1" ref="E49" ca="1">wrform(D49)</f>
        <v>#NAME?</v>
      </c>
    </row>
    <row r="50" spans="2:5" ht="16" x14ac:dyDescent="0.5">
      <c r="B50" s="113" t="s">
        <v>212</v>
      </c>
      <c r="C50" s="146" t="s">
        <v>213</v>
      </c>
      <c r="D50" s="115">
        <f>((PI()^2)*VLOOKUP(D44,$M$6:$R$16,6,FALSE)/(D49/1000)^2)</f>
        <v>114.69352289516114</v>
      </c>
      <c r="E50" s="64" t="e" cm="1">
        <f t="array" aca="1" ref="E50" ca="1">wrform(D50)</f>
        <v>#NAME?</v>
      </c>
    </row>
    <row r="51" spans="2:5" ht="16.5" x14ac:dyDescent="0.35">
      <c r="B51" s="113" t="s">
        <v>214</v>
      </c>
      <c r="C51" s="146" t="s">
        <v>215</v>
      </c>
      <c r="D51" s="115">
        <f>((VLOOKUP(D44,$M$6:$Y$16,4,FALSE)*M2)/(D50*1000))^0.5</f>
        <v>0.70216914659409302</v>
      </c>
      <c r="E51" s="64" t="e" cm="1">
        <f t="array" aca="1" ref="E51" ca="1">wrform(D51)</f>
        <v>#NAME?</v>
      </c>
    </row>
    <row r="52" spans="2:5" ht="16.5" x14ac:dyDescent="0.35">
      <c r="B52" s="113" t="s">
        <v>216</v>
      </c>
      <c r="C52" s="153" t="s">
        <v>217</v>
      </c>
      <c r="D52" s="115">
        <f>0.5*(1+0.49*(D51-0.2)+D51^2)</f>
        <v>0.86955219612989121</v>
      </c>
      <c r="E52" s="64" t="e" cm="1">
        <f t="array" aca="1" ref="E52" ca="1">wrform(D52)</f>
        <v>#NAME?</v>
      </c>
    </row>
    <row r="53" spans="2:5" x14ac:dyDescent="0.35">
      <c r="B53" s="113" t="s">
        <v>218</v>
      </c>
      <c r="C53" s="153" t="s">
        <v>218</v>
      </c>
      <c r="D53" s="115">
        <f>1/(D52+(D52^2-D51^2)^0.5)</f>
        <v>0.72334563498915416</v>
      </c>
      <c r="E53" s="64" t="e" cm="1">
        <f t="array" aca="1" ref="E53" ca="1">wrform(D53)</f>
        <v>#NAME?</v>
      </c>
    </row>
    <row r="54" spans="2:5" x14ac:dyDescent="0.35">
      <c r="B54" s="113" t="s">
        <v>219</v>
      </c>
      <c r="C54" s="153" t="s">
        <v>219</v>
      </c>
      <c r="D54" s="115">
        <f>D53*(VLOOKUP(D44,$M$6:$Y$16,3,FALSE))*M2</f>
        <v>321.16546193518445</v>
      </c>
      <c r="E54" s="64" t="e" cm="1">
        <f t="array" aca="1" ref="E54" ca="1">wrform(D54)</f>
        <v>#NAME?</v>
      </c>
    </row>
    <row r="55" spans="2:5" x14ac:dyDescent="0.35">
      <c r="B55" s="113" t="s">
        <v>220</v>
      </c>
      <c r="C55" s="153" t="s">
        <v>221</v>
      </c>
      <c r="D55" s="115">
        <f>D47/D54</f>
        <v>8.5094597795681262E-4</v>
      </c>
      <c r="E55" s="64" t="e" cm="1">
        <f t="array" aca="1" ref="E55" ca="1">wrform(D55)</f>
        <v>#NAME?</v>
      </c>
    </row>
    <row r="56" spans="2:5" ht="29" x14ac:dyDescent="0.35">
      <c r="B56" s="113" t="s">
        <v>222</v>
      </c>
      <c r="C56" s="154" t="s">
        <v>223</v>
      </c>
      <c r="D56" s="115">
        <f>D49+VLOOKUP(D44,$M$6:$Y$16,2,FALSE)+VLOOKUP(D44,$M$6:$Y$16,13,FALSE)</f>
        <v>172</v>
      </c>
      <c r="E56" s="64" t="e" cm="1">
        <f t="array" aca="1" ref="E56" ca="1">wrform(D56)</f>
        <v>#NAME?</v>
      </c>
    </row>
    <row r="57" spans="2:5" ht="29" x14ac:dyDescent="0.35">
      <c r="B57" s="113" t="s">
        <v>224</v>
      </c>
      <c r="C57" s="154" t="s">
        <v>225</v>
      </c>
      <c r="D57" s="115">
        <f>D47*0.025*(D56/1000)</f>
        <v>1.175166169797264E-3</v>
      </c>
      <c r="E57" s="64" t="e" cm="1">
        <f t="array" aca="1" ref="E57" ca="1">wrform(D57)</f>
        <v>#NAME?</v>
      </c>
    </row>
    <row r="58" spans="2:5" ht="29" x14ac:dyDescent="0.35">
      <c r="B58" s="113" t="s">
        <v>226</v>
      </c>
      <c r="C58" s="154" t="s">
        <v>227</v>
      </c>
      <c r="D58" s="115">
        <f>D57/VLOOKUP(D44,$M$6:$Y$16,11,FALSE)</f>
        <v>1.4077511409029726E-2</v>
      </c>
      <c r="E58" s="64" t="e" cm="1">
        <f t="array" aca="1" ref="E58" ca="1">wrform(D58)</f>
        <v>#NAME?</v>
      </c>
    </row>
    <row r="59" spans="2:5" x14ac:dyDescent="0.35">
      <c r="B59" s="155" t="s">
        <v>228</v>
      </c>
      <c r="C59" s="155" t="s">
        <v>228</v>
      </c>
      <c r="D59" s="115">
        <f>D55+D58</f>
        <v>1.4928457386986539E-2</v>
      </c>
      <c r="E59" s="64" t="e" cm="1">
        <f t="array" aca="1" ref="E59" ca="1">wrform(D59)</f>
        <v>#NAME?</v>
      </c>
    </row>
    <row r="60" spans="2:5" x14ac:dyDescent="0.35">
      <c r="B60" s="113" t="s">
        <v>229</v>
      </c>
      <c r="C60" s="154" t="s">
        <v>229</v>
      </c>
      <c r="D60" s="115" t="str">
        <f>IF(OR(D59&lt;1),"OK","NOT OK")</f>
        <v>OK</v>
      </c>
      <c r="E60" s="64" t="e" cm="1">
        <f t="array" aca="1" ref="E60" ca="1">wrform(D60)</f>
        <v>#NAME?</v>
      </c>
    </row>
    <row r="61" spans="2:5" x14ac:dyDescent="0.35">
      <c r="B61" s="156"/>
      <c r="C61" s="64" t="s">
        <v>88</v>
      </c>
      <c r="E61" s="64" t="str" cm="1">
        <f t="array" ref="E61">wrform(D61)</f>
        <v/>
      </c>
    </row>
    <row r="62" spans="2:5" ht="39.5" x14ac:dyDescent="0.35">
      <c r="B62" s="113" t="s">
        <v>230</v>
      </c>
      <c r="C62" s="146" t="s">
        <v>231</v>
      </c>
      <c r="D62" s="115">
        <f>I19</f>
        <v>12</v>
      </c>
      <c r="E62" s="64" t="e" cm="1">
        <f t="array" aca="1" ref="E62" ca="1">wrform(D62)</f>
        <v>#NAME?</v>
      </c>
    </row>
    <row r="63" spans="2:5" ht="43" x14ac:dyDescent="0.45">
      <c r="B63" s="113" t="s">
        <v>232</v>
      </c>
      <c r="C63" s="154" t="s">
        <v>233</v>
      </c>
      <c r="D63" s="147">
        <f>MAX(D36,D37)*0.025*2^0.5</f>
        <v>0.29889161046200258</v>
      </c>
      <c r="E63" s="64" t="e" cm="1">
        <f t="array" aca="1" ref="E63" ca="1">wrform(D63)</f>
        <v>#NAME?</v>
      </c>
    </row>
    <row r="64" spans="2:5" ht="41.5" x14ac:dyDescent="0.35">
      <c r="B64" s="113" t="s">
        <v>210</v>
      </c>
      <c r="C64" s="154" t="s">
        <v>234</v>
      </c>
      <c r="D64" s="115">
        <f>((D42*2^0.5)-2*(VLOOKUP(D62,$M$6:$Y$16,2,FALSE)+VLOOKUP(D62,$M$6:$Y$16,13,FALSE)))/1000</f>
        <v>0.22098484809834998</v>
      </c>
      <c r="E64" s="64" t="e" cm="1">
        <f t="array" aca="1" ref="E64" ca="1">wrform(D64)</f>
        <v>#NAME?</v>
      </c>
    </row>
    <row r="65" spans="2:5" ht="48.25" customHeight="1" x14ac:dyDescent="0.5">
      <c r="B65" s="113" t="s">
        <v>212</v>
      </c>
      <c r="C65" s="146" t="s">
        <v>213</v>
      </c>
      <c r="D65" s="115">
        <f>(PI()^2)*VLOOKUP(D62,$M$6:$R$16,6,FALSE)/(D64^2)</f>
        <v>42.171931753588638</v>
      </c>
      <c r="E65" s="64" t="e" cm="1">
        <f t="array" aca="1" ref="E65" ca="1">wrform(D65)</f>
        <v>#NAME?</v>
      </c>
    </row>
    <row r="66" spans="2:5" x14ac:dyDescent="0.35">
      <c r="B66" s="113" t="s">
        <v>215</v>
      </c>
      <c r="C66" s="146" t="s">
        <v>215</v>
      </c>
      <c r="D66" s="115">
        <f>((VLOOKUP(D62,$M$6:$Y$16,4,FALSE)*$M$2)/(D65*1000))^0.5</f>
        <v>1.1579756880555496</v>
      </c>
      <c r="E66" s="64" t="e" cm="1">
        <f t="array" aca="1" ref="E66" ca="1">wrform(D66)</f>
        <v>#NAME?</v>
      </c>
    </row>
    <row r="67" spans="2:5" ht="16.5" x14ac:dyDescent="0.35">
      <c r="B67" s="113" t="s">
        <v>216</v>
      </c>
      <c r="C67" s="153" t="s">
        <v>217</v>
      </c>
      <c r="D67" s="115">
        <f>0.5*(1+0.49*(D66-0.2)+D66^2)</f>
        <v>1.4051578906374713</v>
      </c>
      <c r="E67" s="64" t="e" cm="1">
        <f t="array" aca="1" ref="E67" ca="1">wrform(D67)</f>
        <v>#NAME?</v>
      </c>
    </row>
    <row r="68" spans="2:5" x14ac:dyDescent="0.35">
      <c r="B68" s="113" t="s">
        <v>218</v>
      </c>
      <c r="C68" s="153" t="s">
        <v>218</v>
      </c>
      <c r="D68" s="115">
        <f>1/(D67+(D67^2-D66^2)^0.5)</f>
        <v>0.45431347705704184</v>
      </c>
      <c r="E68" s="64" t="e" cm="1">
        <f t="array" aca="1" ref="E68" ca="1">wrform(D68)</f>
        <v>#NAME?</v>
      </c>
    </row>
    <row r="69" spans="2:5" x14ac:dyDescent="0.35">
      <c r="B69" s="113" t="s">
        <v>219</v>
      </c>
      <c r="C69" s="153" t="s">
        <v>219</v>
      </c>
      <c r="D69" s="115">
        <f>(D68*(VLOOKUP(D62,$M$6:$Y$16,4,FALSE))*$M$2)/1000</f>
        <v>25.690821875086279</v>
      </c>
      <c r="E69" s="64" t="e" cm="1">
        <f t="array" aca="1" ref="E69" ca="1">wrform(D69)</f>
        <v>#NAME?</v>
      </c>
    </row>
    <row r="70" spans="2:5" x14ac:dyDescent="0.35">
      <c r="B70" s="113" t="s">
        <v>220</v>
      </c>
      <c r="C70" s="153" t="s">
        <v>221</v>
      </c>
      <c r="D70" s="115">
        <f>D63/D69</f>
        <v>1.1634178615042802E-2</v>
      </c>
      <c r="E70" s="64" t="e" cm="1">
        <f t="array" aca="1" ref="E70" ca="1">wrform(D70)</f>
        <v>#NAME?</v>
      </c>
    </row>
    <row r="71" spans="2:5" ht="29" x14ac:dyDescent="0.35">
      <c r="B71" s="113" t="s">
        <v>222</v>
      </c>
      <c r="C71" s="154" t="s">
        <v>223</v>
      </c>
      <c r="D71" s="115">
        <f>D64+(VLOOKUP(D62,$M$6:$Y$16,2,FALSE)+VLOOKUP(D62,$M$6:$Y$16,13,FALSE))/1000</f>
        <v>0.25898484809834998</v>
      </c>
      <c r="E71" s="64" t="e" cm="1">
        <f t="array" aca="1" ref="E71" ca="1">wrform(D71)</f>
        <v>#NAME?</v>
      </c>
    </row>
    <row r="72" spans="2:5" ht="29" x14ac:dyDescent="0.35">
      <c r="B72" s="113" t="s">
        <v>235</v>
      </c>
      <c r="C72" s="154" t="s">
        <v>225</v>
      </c>
      <c r="D72" s="115">
        <f>D63*0.025*(D71/1000)</f>
        <v>1.9352099583343235E-6</v>
      </c>
      <c r="E72" s="64" t="e" cm="1">
        <f t="array" aca="1" ref="E72" ca="1">wrform(D72)</f>
        <v>#NAME?</v>
      </c>
    </row>
    <row r="73" spans="2:5" ht="29" x14ac:dyDescent="0.35">
      <c r="B73" s="113" t="s">
        <v>226</v>
      </c>
      <c r="C73" s="154" t="s">
        <v>227</v>
      </c>
      <c r="D73" s="115">
        <f>D72/(VLOOKUP(D62,$M$6:$Y$16,11,FALSE))</f>
        <v>2.3182202625879918E-5</v>
      </c>
      <c r="E73" s="64" t="e" cm="1">
        <f t="array" aca="1" ref="E73" ca="1">wrform(D73)</f>
        <v>#NAME?</v>
      </c>
    </row>
    <row r="74" spans="2:5" x14ac:dyDescent="0.35">
      <c r="B74" s="155" t="s">
        <v>228</v>
      </c>
      <c r="C74" s="155" t="s">
        <v>228</v>
      </c>
      <c r="D74" s="115">
        <f>D70+D73</f>
        <v>1.1657360817668681E-2</v>
      </c>
      <c r="E74" s="64" t="e" cm="1">
        <f t="array" aca="1" ref="E74" ca="1">wrform(D74)</f>
        <v>#NAME?</v>
      </c>
    </row>
    <row r="75" spans="2:5" x14ac:dyDescent="0.35">
      <c r="B75" s="113" t="s">
        <v>229</v>
      </c>
      <c r="C75" s="154" t="s">
        <v>229</v>
      </c>
      <c r="D75" s="115" t="str">
        <f>IF(OR(D74&lt;1),"OK","NOT OK")</f>
        <v>OK</v>
      </c>
      <c r="E75" s="64" t="e" cm="1">
        <f t="array" aca="1" ref="E75" ca="1">wrform(D75)</f>
        <v>#NAME?</v>
      </c>
    </row>
    <row r="76" spans="2:5" x14ac:dyDescent="0.35">
      <c r="B76" s="157"/>
      <c r="E76" s="64" t="str" cm="1">
        <f t="array" ref="E76">wrform(D76)</f>
        <v/>
      </c>
    </row>
    <row r="77" spans="2:5" ht="39.5" x14ac:dyDescent="0.35">
      <c r="B77" s="113" t="s">
        <v>236</v>
      </c>
      <c r="C77" s="146" t="s">
        <v>231</v>
      </c>
      <c r="D77" s="115">
        <f>J19</f>
        <v>12</v>
      </c>
      <c r="E77" s="64" t="e" cm="1">
        <f t="array" aca="1" ref="E77" ca="1">wrform(D77)</f>
        <v>#NAME?</v>
      </c>
    </row>
    <row r="78" spans="2:5" ht="46.5" x14ac:dyDescent="0.45">
      <c r="B78" s="113" t="s">
        <v>237</v>
      </c>
      <c r="C78" s="113" t="s">
        <v>237</v>
      </c>
      <c r="D78" s="115">
        <f>D63*(2^0.5)*K19</f>
        <v>2.5361794151694008</v>
      </c>
      <c r="E78" s="64" t="e" cm="1">
        <f t="array" aca="1" ref="E78" ca="1">wrform(D78)</f>
        <v>#NAME?</v>
      </c>
    </row>
    <row r="79" spans="2:5" ht="41.5" x14ac:dyDescent="0.35">
      <c r="B79" s="155" t="s">
        <v>210</v>
      </c>
      <c r="C79" s="154" t="s">
        <v>234</v>
      </c>
      <c r="D79" s="115">
        <f>((D42*2^0.5)-2*(VLOOKUP(D77,$M$6:$Y$16,2,FALSE)+VLOOKUP(D77,$M$6:$Y$16,13,FALSE)))/1000</f>
        <v>0.22098484809834998</v>
      </c>
      <c r="E79" s="64" t="e" cm="1">
        <f t="array" aca="1" ref="E79" ca="1">wrform(D79)</f>
        <v>#NAME?</v>
      </c>
    </row>
    <row r="80" spans="2:5" ht="37.4" customHeight="1" x14ac:dyDescent="0.5">
      <c r="B80" s="113" t="s">
        <v>212</v>
      </c>
      <c r="C80" s="146" t="s">
        <v>213</v>
      </c>
      <c r="D80" s="115">
        <f>(PI()^2)*VLOOKUP(D77,$M$6:$R$16,6,FALSE)/(D79^2)</f>
        <v>42.171931753588638</v>
      </c>
      <c r="E80" s="64" t="e" cm="1">
        <f t="array" aca="1" ref="E80" ca="1">wrform(D80)</f>
        <v>#NAME?</v>
      </c>
    </row>
    <row r="81" spans="2:5" x14ac:dyDescent="0.35">
      <c r="B81" s="113" t="s">
        <v>215</v>
      </c>
      <c r="C81" s="146" t="s">
        <v>215</v>
      </c>
      <c r="D81" s="115">
        <f>((VLOOKUP(D77,$M$6:$Y$16,4,FALSE)*$M$2)/(D80*1000))^0.5</f>
        <v>1.1579756880555496</v>
      </c>
      <c r="E81" s="64" t="e" cm="1">
        <f t="array" aca="1" ref="E81" ca="1">wrform(D81)</f>
        <v>#NAME?</v>
      </c>
    </row>
    <row r="82" spans="2:5" ht="16.5" x14ac:dyDescent="0.35">
      <c r="B82" s="113" t="s">
        <v>216</v>
      </c>
      <c r="C82" s="153" t="s">
        <v>217</v>
      </c>
      <c r="D82" s="115">
        <f>0.5*(1+0.49*(D81-0.2)+D81^2)</f>
        <v>1.4051578906374713</v>
      </c>
      <c r="E82" s="64" t="e" cm="1">
        <f t="array" aca="1" ref="E82" ca="1">wrform(D82)</f>
        <v>#NAME?</v>
      </c>
    </row>
    <row r="83" spans="2:5" x14ac:dyDescent="0.35">
      <c r="B83" s="113" t="s">
        <v>218</v>
      </c>
      <c r="C83" s="153" t="s">
        <v>218</v>
      </c>
      <c r="D83" s="115">
        <f>1/(D82+(D82^2-D81^2)^0.5)</f>
        <v>0.45431347705704184</v>
      </c>
      <c r="E83" s="64" t="e" cm="1">
        <f t="array" aca="1" ref="E83" ca="1">wrform(D83)</f>
        <v>#NAME?</v>
      </c>
    </row>
    <row r="84" spans="2:5" x14ac:dyDescent="0.35">
      <c r="B84" s="113" t="s">
        <v>219</v>
      </c>
      <c r="C84" s="153" t="s">
        <v>219</v>
      </c>
      <c r="D84" s="115">
        <f>(D83*(VLOOKUP(D77,$M$6:$Y$16,4,FALSE))*$M$2)/1000</f>
        <v>25.690821875086279</v>
      </c>
      <c r="E84" s="64" t="e" cm="1">
        <f t="array" aca="1" ref="E84" ca="1">wrform(D84)</f>
        <v>#NAME?</v>
      </c>
    </row>
    <row r="85" spans="2:5" x14ac:dyDescent="0.35">
      <c r="B85" s="113" t="s">
        <v>220</v>
      </c>
      <c r="C85" s="153" t="s">
        <v>221</v>
      </c>
      <c r="D85" s="115">
        <f>D78/D84</f>
        <v>9.8719279106787378E-2</v>
      </c>
      <c r="E85" s="64" t="e" cm="1">
        <f t="array" aca="1" ref="E85" ca="1">wrform(D85)</f>
        <v>#NAME?</v>
      </c>
    </row>
    <row r="86" spans="2:5" ht="29" x14ac:dyDescent="0.35">
      <c r="B86" s="113" t="s">
        <v>222</v>
      </c>
      <c r="C86" s="154" t="s">
        <v>223</v>
      </c>
      <c r="D86" s="115">
        <f>D79+(VLOOKUP(D77,$M$6:$Y$16,2,FALSE)+VLOOKUP(D77,$M$6:$Y$16,13,FALSE))/1000</f>
        <v>0.25898484809834998</v>
      </c>
      <c r="E86" s="64" t="e" cm="1">
        <f t="array" aca="1" ref="E86" ca="1">wrform(D86)</f>
        <v>#NAME?</v>
      </c>
    </row>
    <row r="87" spans="2:5" ht="29" x14ac:dyDescent="0.35">
      <c r="B87" s="113" t="s">
        <v>235</v>
      </c>
      <c r="C87" s="154" t="s">
        <v>225</v>
      </c>
      <c r="D87" s="115">
        <f>D78*0.025*(D86/1000)</f>
        <v>1.6420801014695235E-5</v>
      </c>
      <c r="E87" s="64" t="e" cm="1">
        <f t="array" aca="1" ref="E87" ca="1">wrform(D87)</f>
        <v>#NAME?</v>
      </c>
    </row>
    <row r="88" spans="2:5" ht="29" x14ac:dyDescent="0.35">
      <c r="B88" s="113" t="s">
        <v>226</v>
      </c>
      <c r="C88" s="154" t="s">
        <v>227</v>
      </c>
      <c r="D88" s="115">
        <f>D87/(VLOOKUP(D77,$M$6:$Y$16,11,FALSE))</f>
        <v>1.9670751215520335E-4</v>
      </c>
      <c r="E88" s="64" t="e" cm="1">
        <f t="array" aca="1" ref="E88" ca="1">wrform(D88)</f>
        <v>#NAME?</v>
      </c>
    </row>
    <row r="89" spans="2:5" x14ac:dyDescent="0.35">
      <c r="B89" s="155" t="s">
        <v>228</v>
      </c>
      <c r="C89" s="155" t="s">
        <v>228</v>
      </c>
      <c r="D89" s="115">
        <f>D85+D88</f>
        <v>9.8915986618942575E-2</v>
      </c>
      <c r="E89" s="64" t="e" cm="1">
        <f t="array" aca="1" ref="E89" ca="1">wrform(D89)</f>
        <v>#NAME?</v>
      </c>
    </row>
    <row r="90" spans="2:5" x14ac:dyDescent="0.35">
      <c r="B90" s="113" t="s">
        <v>229</v>
      </c>
      <c r="C90" s="154" t="s">
        <v>229</v>
      </c>
      <c r="D90" s="115" t="str">
        <f>IF(OR(D89&lt;1),"OK","NOT OK")</f>
        <v>OK</v>
      </c>
      <c r="E90" s="64" t="e" cm="1">
        <f t="array" aca="1" ref="E90" ca="1">wrform(D90)</f>
        <v>#NAME?</v>
      </c>
    </row>
  </sheetData>
  <sheetProtection algorithmName="SHA-512" hashValue="yZt+BBsBbRzUWFxTb07uQaNB3TrQ0PnZ2BhhwTxET7EfO5IZQVxDWSwf8S/2Fd8E2HJdJGDqv0ql0lQWbkOc3Q==" saltValue="sfUekZkqOrebclGmWo123Q==" spinCount="100000" sheet="1" objects="1" scenarios="1"/>
  <mergeCells count="1">
    <mergeCell ref="H17:K17"/>
  </mergeCells>
  <phoneticPr fontId="8" type="noConversion"/>
  <dataValidations count="1">
    <dataValidation type="list" allowBlank="1" showInputMessage="1" showErrorMessage="1" sqref="I4:J15" xr:uid="{EB397E56-374E-4DFE-AA39-EF407F480DC7}">
      <formula1>Bar_Diameter</formula1>
    </dataValidation>
  </dataValidations>
  <pageMargins left="0.7" right="0.7" top="0.75" bottom="0.75" header="0.3" footer="0.3"/>
  <pageSetup paperSize="8" orientation="portrait" r:id="rId1"/>
  <headerFooter>
    <oddHeader>&amp;L&amp;"Century Gothic"&amp;10&amp;K000000 Business&amp;1#_x000D_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A0E4F83-DE7A-49BE-B52C-F3CBADA46312}">
          <x14:formula1>
            <xm:f>Lists!$E$3:$E$12</xm:f>
          </x14:formula1>
          <xm:sqref>K19</xm:sqref>
        </x14:dataValidation>
        <x14:dataValidation type="list" allowBlank="1" showInputMessage="1" showErrorMessage="1" xr:uid="{BF6DF20B-745F-4C71-B17C-1DC3644CCC2E}">
          <x14:formula1>
            <xm:f>Lists!$B$3:$B$9</xm:f>
          </x14:formula1>
          <xm:sqref>H19:J19 K4</xm:sqref>
        </x14:dataValidation>
        <x14:dataValidation type="list" allowBlank="1" showInputMessage="1" showErrorMessage="1" xr:uid="{D1AD5ADD-33FA-4B5C-913D-417BE426F206}">
          <x14:formula1>
            <xm:f>Lists!$B$4:$B$9</xm:f>
          </x14:formula1>
          <xm:sqref>G4:H15</xm:sqref>
        </x14:dataValidation>
        <x14:dataValidation type="list" allowBlank="1" showInputMessage="1" showErrorMessage="1" xr:uid="{B90B3BA4-2EC4-463A-8544-EEE31D7AF8A8}">
          <x14:formula1>
            <xm:f>Lists!$K$4:$K$5</xm:f>
          </x14:formula1>
          <xm:sqref>K5 K7 K9 K11 K13 K15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CA889-05CF-431B-A5B3-DED9B1BA6E5A}">
  <sheetPr codeName="Sheet5"/>
  <dimension ref="B1:K9"/>
  <sheetViews>
    <sheetView workbookViewId="0">
      <selection activeCell="E19" sqref="E19"/>
    </sheetView>
  </sheetViews>
  <sheetFormatPr defaultRowHeight="14.5" x14ac:dyDescent="0.35"/>
  <sheetData>
    <row r="1" spans="2:11" x14ac:dyDescent="0.35">
      <c r="F1">
        <v>0.3</v>
      </c>
    </row>
    <row r="2" spans="2:11" x14ac:dyDescent="0.35">
      <c r="F2">
        <v>0.5</v>
      </c>
    </row>
    <row r="3" spans="2:11" x14ac:dyDescent="0.35">
      <c r="B3" s="2">
        <v>0</v>
      </c>
      <c r="D3" t="s">
        <v>238</v>
      </c>
      <c r="E3">
        <v>1</v>
      </c>
      <c r="F3">
        <v>0.8</v>
      </c>
      <c r="H3">
        <v>0</v>
      </c>
      <c r="J3" t="s">
        <v>239</v>
      </c>
      <c r="K3" s="83"/>
    </row>
    <row r="4" spans="2:11" x14ac:dyDescent="0.35">
      <c r="B4" s="3">
        <v>12</v>
      </c>
      <c r="D4" t="s">
        <v>240</v>
      </c>
      <c r="E4">
        <v>2</v>
      </c>
      <c r="F4">
        <v>1.1000000000000001</v>
      </c>
      <c r="H4">
        <v>0.2</v>
      </c>
      <c r="J4" t="s">
        <v>241</v>
      </c>
      <c r="K4" s="83" t="s">
        <v>122</v>
      </c>
    </row>
    <row r="5" spans="2:11" x14ac:dyDescent="0.35">
      <c r="B5" s="3">
        <v>16</v>
      </c>
      <c r="D5" t="s">
        <v>242</v>
      </c>
      <c r="E5">
        <v>3</v>
      </c>
      <c r="F5">
        <v>1.5</v>
      </c>
      <c r="H5">
        <v>0.4</v>
      </c>
      <c r="K5" s="83" t="s">
        <v>243</v>
      </c>
    </row>
    <row r="6" spans="2:11" x14ac:dyDescent="0.35">
      <c r="B6" s="1">
        <v>20</v>
      </c>
      <c r="E6">
        <v>4</v>
      </c>
      <c r="F6">
        <v>2.6</v>
      </c>
      <c r="H6">
        <v>0.6</v>
      </c>
    </row>
    <row r="7" spans="2:11" x14ac:dyDescent="0.35">
      <c r="B7" s="1">
        <v>25</v>
      </c>
      <c r="E7">
        <v>5</v>
      </c>
      <c r="H7">
        <v>0.8</v>
      </c>
    </row>
    <row r="8" spans="2:11" x14ac:dyDescent="0.35">
      <c r="B8" s="24">
        <v>32</v>
      </c>
      <c r="E8">
        <v>6</v>
      </c>
      <c r="H8">
        <v>1</v>
      </c>
    </row>
    <row r="9" spans="2:11" x14ac:dyDescent="0.35">
      <c r="B9" s="25">
        <v>40</v>
      </c>
      <c r="H9">
        <v>1.2</v>
      </c>
    </row>
  </sheetData>
  <pageMargins left="0.7" right="0.7" top="0.75" bottom="0.75" header="0.3" footer="0.3"/>
  <headerFooter>
    <oddHeader>&amp;L&amp;"Century Gothic"&amp;10&amp;K000000 Business&amp;1#_x000D_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f8ed37-b154-475c-853b-6a24a15e75e1">
      <Terms xmlns="http://schemas.microsoft.com/office/infopath/2007/PartnerControls"/>
    </lcf76f155ced4ddcb4097134ff3c332f>
    <Status xmlns="1ef8ed37-b154-475c-853b-6a24a15e75e1" xsi:nil="true"/>
    <TaxCatchAll xmlns="a2f812ef-9683-4d27-a31c-fadb3996cbb1" xsi:nil="true"/>
    <IncludeonBylorTWCR xmlns="1ef8ed37-b154-475c-853b-6a24a15e75e1">false</IncludeonBylorTWCR>
    <Expires xmlns="1ef8ed37-b154-475c-853b-6a24a15e75e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21EBBF3102194A8287DFCF4FE5C174" ma:contentTypeVersion="19" ma:contentTypeDescription="Create a new document." ma:contentTypeScope="" ma:versionID="7696c2fcf3b68ce9f052d7fc665b67db">
  <xsd:schema xmlns:xsd="http://www.w3.org/2001/XMLSchema" xmlns:xs="http://www.w3.org/2001/XMLSchema" xmlns:p="http://schemas.microsoft.com/office/2006/metadata/properties" xmlns:ns2="1ef8ed37-b154-475c-853b-6a24a15e75e1" xmlns:ns3="a2f812ef-9683-4d27-a31c-fadb3996cbb1" targetNamespace="http://schemas.microsoft.com/office/2006/metadata/properties" ma:root="true" ma:fieldsID="86c9d0dfbc50923007277b4055a69de1" ns2:_="" ns3:_="">
    <xsd:import namespace="1ef8ed37-b154-475c-853b-6a24a15e75e1"/>
    <xsd:import namespace="a2f812ef-9683-4d27-a31c-fadb3996cb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Status" minOccurs="0"/>
                <xsd:element ref="ns2:IncludeonBylorTWCR" minOccurs="0"/>
                <xsd:element ref="ns2:MediaServiceSearchProperties" minOccurs="0"/>
                <xsd:element ref="ns2:MediaServiceBillingMetadata" minOccurs="0"/>
                <xsd:element ref="ns2:Expir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ed37-b154-475c-853b-6a24a15e75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b160364-55e1-4895-b5f8-0b200ced27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Status" ma:index="22" nillable="true" ma:displayName="Status" ma:format="Dropdown" ma:internalName="Status">
      <xsd:simpleType>
        <xsd:union memberTypes="dms:Text">
          <xsd:simpleType>
            <xsd:restriction base="dms:Choice">
              <xsd:enumeration value="Draft"/>
              <xsd:enumeration value="Approved"/>
              <xsd:enumeration value="Under Review"/>
            </xsd:restriction>
          </xsd:simpleType>
        </xsd:union>
      </xsd:simpleType>
    </xsd:element>
    <xsd:element name="IncludeonBylorTWCR" ma:index="23" nillable="true" ma:displayName="Include on Bylor TWCR" ma:default="0" ma:format="Dropdown" ma:internalName="IncludeonBylorTWCR">
      <xsd:simpleType>
        <xsd:restriction base="dms:Boolea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  <xsd:element name="Expires" ma:index="26" nillable="true" ma:displayName="Expires" ma:format="DateOnly" ma:internalName="Expires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f812ef-9683-4d27-a31c-fadb3996cbb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b72e0c8c-1669-4877-8dbf-3bedeeb2432b}" ma:internalName="TaxCatchAll" ma:showField="CatchAllData" ma:web="a2f812ef-9683-4d27-a31c-fadb3996cb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2634FDE-5BBE-4775-96D6-8C55E9A3BE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632869-6571-49C4-B395-DF3DAF43CE7A}">
  <ds:schemaRefs>
    <ds:schemaRef ds:uri="http://schemas.microsoft.com/office/2006/metadata/properties"/>
    <ds:schemaRef ds:uri="http://schemas.microsoft.com/office/infopath/2007/PartnerControls"/>
    <ds:schemaRef ds:uri="1ef8ed37-b154-475c-853b-6a24a15e75e1"/>
    <ds:schemaRef ds:uri="a2f812ef-9683-4d27-a31c-fadb3996cbb1"/>
  </ds:schemaRefs>
</ds:datastoreItem>
</file>

<file path=customXml/itemProps3.xml><?xml version="1.0" encoding="utf-8"?>
<ds:datastoreItem xmlns:ds="http://schemas.openxmlformats.org/officeDocument/2006/customXml" ds:itemID="{6139497F-9103-45A4-974D-44886EEF71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f8ed37-b154-475c-853b-6a24a15e75e1"/>
    <ds:schemaRef ds:uri="a2f812ef-9683-4d27-a31c-fadb3996cb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47f41cc9-f9f5-4116-a8cf-c7b5d298908f}" enabled="1" method="Privileged" siteId="{95baa318-b818-4676-8a0f-5a95a646c3c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Span Lookup</vt:lpstr>
      <vt:lpstr>Lifting Calculation</vt:lpstr>
      <vt:lpstr>Lists</vt:lpstr>
      <vt:lpstr>Bar_Diameter</vt:lpstr>
      <vt:lpstr>Pour_Thickness</vt:lpstr>
      <vt:lpstr>UDL_Factor</vt:lpstr>
      <vt:lpstr>Yes_No</vt:lpstr>
    </vt:vector>
  </TitlesOfParts>
  <Manager/>
  <Company>LOR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Whitworth, Matthew</dc:creator>
  <cp:keywords/>
  <dc:description/>
  <cp:lastModifiedBy>Ateloye, Ayodele</cp:lastModifiedBy>
  <cp:revision/>
  <dcterms:created xsi:type="dcterms:W3CDTF">2024-01-24T17:04:00Z</dcterms:created>
  <dcterms:modified xsi:type="dcterms:W3CDTF">2026-03-06T12:08:07Z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f41cc9-f9f5-4116-a8cf-c7b5d298908f_Enabled">
    <vt:lpwstr>true</vt:lpwstr>
  </property>
  <property fmtid="{D5CDD505-2E9C-101B-9397-08002B2CF9AE}" pid="3" name="MSIP_Label_47f41cc9-f9f5-4116-a8cf-c7b5d298908f_SetDate">
    <vt:lpwstr>2025-06-24T11:48:57Z</vt:lpwstr>
  </property>
  <property fmtid="{D5CDD505-2E9C-101B-9397-08002B2CF9AE}" pid="4" name="MSIP_Label_47f41cc9-f9f5-4116-a8cf-c7b5d298908f_Method">
    <vt:lpwstr>Privileged</vt:lpwstr>
  </property>
  <property fmtid="{D5CDD505-2E9C-101B-9397-08002B2CF9AE}" pid="5" name="MSIP_Label_47f41cc9-f9f5-4116-a8cf-c7b5d298908f_Name">
    <vt:lpwstr>Business</vt:lpwstr>
  </property>
  <property fmtid="{D5CDD505-2E9C-101B-9397-08002B2CF9AE}" pid="6" name="MSIP_Label_47f41cc9-f9f5-4116-a8cf-c7b5d298908f_SiteId">
    <vt:lpwstr>95baa318-b818-4676-8a0f-5a95a646c3c1</vt:lpwstr>
  </property>
  <property fmtid="{D5CDD505-2E9C-101B-9397-08002B2CF9AE}" pid="7" name="MSIP_Label_47f41cc9-f9f5-4116-a8cf-c7b5d298908f_ActionId">
    <vt:lpwstr>be5c3368-9dd0-4584-89b2-5ab5dba8af1f</vt:lpwstr>
  </property>
  <property fmtid="{D5CDD505-2E9C-101B-9397-08002B2CF9AE}" pid="8" name="MSIP_Label_47f41cc9-f9f5-4116-a8cf-c7b5d298908f_ContentBits">
    <vt:lpwstr>1</vt:lpwstr>
  </property>
  <property fmtid="{D5CDD505-2E9C-101B-9397-08002B2CF9AE}" pid="9" name="ContentTypeId">
    <vt:lpwstr>0x0101000921EBBF3102194A8287DFCF4FE5C174</vt:lpwstr>
  </property>
  <property fmtid="{D5CDD505-2E9C-101B-9397-08002B2CF9AE}" pid="10" name="MediaServiceImageTags">
    <vt:lpwstr/>
  </property>
</Properties>
</file>
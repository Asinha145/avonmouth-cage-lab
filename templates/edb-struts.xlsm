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aingorourke.sharepoint.com/sites/AvonmouthReinforcementManufacturingFacility2/Shared Documents/13. TECHNICAL/Digital Build/Firma/1. NI/1613. 2HDAB0719AC1/"/>
    </mc:Choice>
  </mc:AlternateContent>
  <xr:revisionPtr revIDLastSave="152" documentId="13_ncr:1_{FDCF6406-225E-4983-896E-2D06E53EF7B0}" xr6:coauthVersionLast="47" xr6:coauthVersionMax="47" xr10:uidLastSave="{94D2D8D3-999F-45F8-A78D-EAFF75707FFF}"/>
  <bookViews>
    <workbookView minimized="1" xWindow="-29700" yWindow="1530" windowWidth="14400" windowHeight="8175" xr2:uid="{A847C10B-5554-45C2-B8AC-A44DB7633610}"/>
  </bookViews>
  <sheets>
    <sheet name="Span Lookup" sheetId="9" r:id="rId1"/>
    <sheet name="Lifting Calculation" sheetId="12" r:id="rId2"/>
    <sheet name="Lists" sheetId="8" r:id="rId3"/>
  </sheets>
  <externalReferences>
    <externalReference r:id="rId4"/>
  </externalReferences>
  <definedNames>
    <definedName name="_xlnm._FilterDatabase" localSheetId="0" hidden="1">'Span Lookup'!$B$33:$G$36</definedName>
    <definedName name="Bar_Diameter">Lists!$B$3:$B$7</definedName>
    <definedName name="Model">[1]Lists!$Q$1:$Q$28</definedName>
    <definedName name="Pour_Thickness">Lists!$F$3:$F$6</definedName>
    <definedName name="Redetailing_Status">[1]Lists!$J$4:$J$9</definedName>
    <definedName name="UDL_Factor">Lists!$H$3:$H$9</definedName>
    <definedName name="Yes_No">Lists!$J$3:$J$4</definedName>
    <definedName name="YesNo">[1]Lists!$H$9:$H$10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12" l="1"/>
  <c r="D58" i="12"/>
  <c r="G33" i="12"/>
  <c r="G34" i="12"/>
  <c r="G32" i="12"/>
  <c r="L11" i="12"/>
  <c r="L20" i="12"/>
  <c r="E50" i="12" a="1"/>
  <c r="E108" i="12" a="1"/>
  <c r="E76" i="12" a="1"/>
  <c r="E79" i="12" a="1"/>
  <c r="E78" i="12" a="1"/>
  <c r="E46" i="12" a="1"/>
  <c r="E75" i="12" a="1"/>
  <c r="E138" i="12" a="1"/>
  <c r="E100" i="12" a="1"/>
  <c r="E78" i="12" l="1"/>
  <c r="E79" i="12"/>
  <c r="E46" i="12"/>
  <c r="E50" i="12"/>
  <c r="E75" i="12"/>
  <c r="E100" i="12"/>
  <c r="E76" i="12"/>
  <c r="E138" i="12"/>
  <c r="E108" i="12"/>
  <c r="L30" i="12"/>
  <c r="L29" i="12"/>
  <c r="I5" i="12"/>
  <c r="I6" i="12"/>
  <c r="I7" i="12"/>
  <c r="I8" i="12"/>
  <c r="I9" i="12"/>
  <c r="I10" i="12"/>
  <c r="I11" i="12"/>
  <c r="I13" i="12"/>
  <c r="I14" i="12"/>
  <c r="I15" i="12"/>
  <c r="I16" i="12"/>
  <c r="I17" i="12"/>
  <c r="I18" i="12"/>
  <c r="I19" i="12"/>
  <c r="I20" i="12"/>
  <c r="I4" i="12"/>
  <c r="H5" i="12"/>
  <c r="H6" i="12"/>
  <c r="H7" i="12"/>
  <c r="H8" i="12"/>
  <c r="H9" i="12"/>
  <c r="H10" i="12"/>
  <c r="H11" i="12"/>
  <c r="G5" i="12"/>
  <c r="G6" i="12"/>
  <c r="G7" i="12"/>
  <c r="G8" i="12"/>
  <c r="G9" i="12"/>
  <c r="G10" i="12"/>
  <c r="G11" i="12"/>
  <c r="J5" i="12"/>
  <c r="J6" i="12"/>
  <c r="J7" i="12"/>
  <c r="J8" i="12"/>
  <c r="J9" i="12"/>
  <c r="J10" i="12"/>
  <c r="J11" i="12"/>
  <c r="J13" i="12"/>
  <c r="J14" i="12"/>
  <c r="J15" i="12"/>
  <c r="J16" i="12"/>
  <c r="J17" i="12"/>
  <c r="J18" i="12"/>
  <c r="J19" i="12"/>
  <c r="J20" i="12"/>
  <c r="E6" i="12" a="1"/>
  <c r="E14" i="12" a="1"/>
  <c r="E11" i="12" a="1"/>
  <c r="E17" i="12" a="1"/>
  <c r="E19" i="12" a="1"/>
  <c r="E9" i="12" a="1"/>
  <c r="E18" i="12" a="1"/>
  <c r="E8" i="12" a="1"/>
  <c r="E10" i="12" a="1"/>
  <c r="E15" i="12" a="1"/>
  <c r="E16" i="12" a="1"/>
  <c r="E5" i="12" a="1"/>
  <c r="E7" i="12" a="1"/>
  <c r="L9" i="12" l="1"/>
  <c r="E10" i="12"/>
  <c r="E17" i="12"/>
  <c r="E16" i="12"/>
  <c r="E8" i="12"/>
  <c r="E7" i="12"/>
  <c r="E9" i="12"/>
  <c r="E14" i="12"/>
  <c r="E15" i="12"/>
  <c r="E6" i="12"/>
  <c r="E11" i="12"/>
  <c r="E5" i="12"/>
  <c r="E19" i="12"/>
  <c r="E18" i="12"/>
  <c r="L10" i="12"/>
  <c r="L6" i="12"/>
  <c r="L8" i="12"/>
  <c r="L7" i="12"/>
  <c r="L5" i="12"/>
  <c r="D11" i="12"/>
  <c r="H20" i="12"/>
  <c r="H19" i="12"/>
  <c r="H18" i="12"/>
  <c r="G20" i="12"/>
  <c r="G19" i="12"/>
  <c r="G18" i="12"/>
  <c r="D7" i="12"/>
  <c r="E37" i="12" a="1"/>
  <c r="E36" i="12" a="1"/>
  <c r="D68" i="12" l="1"/>
  <c r="D67" i="12"/>
  <c r="E37" i="12"/>
  <c r="E36" i="12"/>
  <c r="L18" i="12"/>
  <c r="L19" i="12"/>
  <c r="D36" i="12"/>
  <c r="D18" i="12"/>
  <c r="D37" i="12"/>
  <c r="D19" i="12"/>
  <c r="H13" i="12"/>
  <c r="H14" i="12"/>
  <c r="H15" i="12"/>
  <c r="H16" i="12"/>
  <c r="H17" i="12"/>
  <c r="E33" i="12" a="1"/>
  <c r="E32" i="12" a="1"/>
  <c r="E45" i="12" a="1"/>
  <c r="E68" i="12" a="1"/>
  <c r="E27" i="12" a="1"/>
  <c r="E35" i="12" a="1"/>
  <c r="E31" i="12" a="1"/>
  <c r="E30" i="12" a="1"/>
  <c r="E44" i="12" a="1"/>
  <c r="E34" i="12" a="1"/>
  <c r="E26" i="12" a="1"/>
  <c r="E67" i="12" a="1"/>
  <c r="E27" i="12" l="1"/>
  <c r="E32" i="12"/>
  <c r="E33" i="12"/>
  <c r="E67" i="12"/>
  <c r="E44" i="12"/>
  <c r="E35" i="12"/>
  <c r="E34" i="12"/>
  <c r="E30" i="12"/>
  <c r="E31" i="12"/>
  <c r="E68" i="12"/>
  <c r="E45" i="12"/>
  <c r="E26" i="12"/>
  <c r="D27" i="12"/>
  <c r="D45" i="12"/>
  <c r="D26" i="12"/>
  <c r="D44" i="12"/>
  <c r="D33" i="12"/>
  <c r="D35" i="12"/>
  <c r="D66" i="12" s="1"/>
  <c r="D31" i="12"/>
  <c r="E39" i="12" a="1"/>
  <c r="E43" i="12" a="1"/>
  <c r="E58" i="12" a="1"/>
  <c r="E59" i="12" a="1"/>
  <c r="E41" i="12" a="1"/>
  <c r="E66" i="12" a="1"/>
  <c r="E66" i="12" l="1"/>
  <c r="E43" i="12"/>
  <c r="E39" i="12"/>
  <c r="E58" i="12"/>
  <c r="E59" i="12"/>
  <c r="E41" i="12"/>
  <c r="D39" i="12"/>
  <c r="D41" i="12"/>
  <c r="D43" i="12"/>
  <c r="K24" i="12"/>
  <c r="J24" i="12"/>
  <c r="E139" i="12" a="1"/>
  <c r="E139" i="12" l="1"/>
  <c r="D139" i="12"/>
  <c r="I24" i="12"/>
  <c r="H24" i="12"/>
  <c r="G23" i="12"/>
  <c r="G14" i="12"/>
  <c r="G15" i="12"/>
  <c r="G16" i="12"/>
  <c r="G17" i="12"/>
  <c r="E101" i="12" a="1"/>
  <c r="E152" i="12" a="1"/>
  <c r="E64" i="12" a="1"/>
  <c r="E147" i="12" a="1"/>
  <c r="E157" i="12" a="1"/>
  <c r="E80" i="12" a="1"/>
  <c r="D64" i="12" l="1"/>
  <c r="L15" i="12"/>
  <c r="E80" i="12"/>
  <c r="E64" i="12"/>
  <c r="E101" i="12"/>
  <c r="E152" i="12"/>
  <c r="E147" i="12"/>
  <c r="E157" i="12"/>
  <c r="L14" i="12"/>
  <c r="L16" i="12"/>
  <c r="L17" i="12"/>
  <c r="D80" i="12"/>
  <c r="D101" i="12"/>
  <c r="H4" i="12"/>
  <c r="D12" i="12" s="1"/>
  <c r="J4" i="12"/>
  <c r="G13" i="12"/>
  <c r="E114" i="12" a="1"/>
  <c r="E12" i="12" a="1"/>
  <c r="E119" i="12" a="1"/>
  <c r="E13" i="12" a="1"/>
  <c r="E109" i="12" a="1"/>
  <c r="E13" i="12" l="1"/>
  <c r="E12" i="12"/>
  <c r="E119" i="12"/>
  <c r="E114" i="12"/>
  <c r="E109" i="12"/>
  <c r="L13" i="12"/>
  <c r="D17" i="12"/>
  <c r="D16" i="12"/>
  <c r="D30" i="12"/>
  <c r="D13" i="12"/>
  <c r="D15" i="12"/>
  <c r="D14" i="12"/>
  <c r="D9" i="12"/>
  <c r="D8" i="12"/>
  <c r="D6" i="12"/>
  <c r="D34" i="12"/>
  <c r="D65" i="12" s="1"/>
  <c r="D10" i="12"/>
  <c r="D32" i="12"/>
  <c r="D63" i="12" s="1"/>
  <c r="D4" i="12"/>
  <c r="D5" i="12"/>
  <c r="G22" i="12"/>
  <c r="G4" i="12"/>
  <c r="E24" i="12" a="1"/>
  <c r="E20" i="12" a="1"/>
  <c r="E22" i="12" a="1"/>
  <c r="E25" i="12" a="1"/>
  <c r="E77" i="12" a="1"/>
  <c r="E65" i="12" a="1"/>
  <c r="E47" i="12" a="1"/>
  <c r="E38" i="12" a="1"/>
  <c r="E51" i="12" a="1"/>
  <c r="E40" i="12" a="1"/>
  <c r="E21" i="12" a="1"/>
  <c r="E23" i="12" a="1"/>
  <c r="E63" i="12" a="1"/>
  <c r="E42" i="12" a="1"/>
  <c r="E22" i="12" l="1"/>
  <c r="E20" i="12"/>
  <c r="E77" i="12"/>
  <c r="E38" i="12"/>
  <c r="E25" i="12"/>
  <c r="E21" i="12"/>
  <c r="E40" i="12"/>
  <c r="E63" i="12"/>
  <c r="E23" i="12"/>
  <c r="E51" i="12"/>
  <c r="E47" i="12"/>
  <c r="E24" i="12"/>
  <c r="E65" i="12"/>
  <c r="E42" i="12"/>
  <c r="L4" i="12"/>
  <c r="L27" i="12" s="1"/>
  <c r="D25" i="12"/>
  <c r="D57" i="12" s="1"/>
  <c r="D21" i="12"/>
  <c r="D23" i="12"/>
  <c r="L28" i="12"/>
  <c r="D47" i="12"/>
  <c r="D51" i="12"/>
  <c r="D62" i="12" s="1"/>
  <c r="D77" i="12"/>
  <c r="D79" i="12" s="1"/>
  <c r="D38" i="12"/>
  <c r="D42" i="12"/>
  <c r="D40" i="12"/>
  <c r="D22" i="12"/>
  <c r="D20" i="12"/>
  <c r="D24" i="12"/>
  <c r="D56" i="12" s="1"/>
  <c r="E57" i="12" a="1"/>
  <c r="E48" i="12" a="1"/>
  <c r="E29" i="12" a="1"/>
  <c r="E54" i="12" a="1"/>
  <c r="E28" i="12" a="1"/>
  <c r="E62" i="12" a="1"/>
  <c r="E55" i="12" a="1"/>
  <c r="E49" i="12" a="1"/>
  <c r="E56" i="12" a="1"/>
  <c r="E140" i="12" a="1"/>
  <c r="D54" i="12" l="1"/>
  <c r="D55" i="12"/>
  <c r="D69" i="12"/>
  <c r="D50" i="12"/>
  <c r="D61" i="12" s="1"/>
  <c r="D49" i="12"/>
  <c r="D53" i="12" s="1"/>
  <c r="D48" i="12"/>
  <c r="D52" i="12" s="1"/>
  <c r="D29" i="12"/>
  <c r="E140" i="12"/>
  <c r="E54" i="12"/>
  <c r="E55" i="12"/>
  <c r="E62" i="12"/>
  <c r="E56" i="12"/>
  <c r="E28" i="12"/>
  <c r="E48" i="12"/>
  <c r="E57" i="12"/>
  <c r="E49" i="12"/>
  <c r="E29" i="12"/>
  <c r="D78" i="12"/>
  <c r="D140" i="12"/>
  <c r="D46" i="12"/>
  <c r="D28" i="12"/>
  <c r="E61" i="12" a="1"/>
  <c r="E146" i="12" a="1"/>
  <c r="E60" i="12" a="1"/>
  <c r="E83" i="12" a="1"/>
  <c r="E87" i="12" a="1"/>
  <c r="E53" i="12" a="1"/>
  <c r="E52" i="12" a="1"/>
  <c r="E105" i="12" a="1"/>
  <c r="E107" i="12" a="1"/>
  <c r="E144" i="12" a="1"/>
  <c r="E106" i="12" a="1"/>
  <c r="E145" i="12" a="1"/>
  <c r="E81" i="12" a="1"/>
  <c r="E82" i="12" a="1"/>
  <c r="E69" i="12" a="1"/>
  <c r="D105" i="12" l="1"/>
  <c r="D127" i="12" s="1"/>
  <c r="D87" i="12"/>
  <c r="D96" i="12" s="1"/>
  <c r="E53" i="12"/>
  <c r="D60" i="12"/>
  <c r="E82" i="12"/>
  <c r="E52" i="12"/>
  <c r="E69" i="12"/>
  <c r="E61" i="12"/>
  <c r="E145" i="12"/>
  <c r="E146" i="12"/>
  <c r="E144" i="12"/>
  <c r="E60" i="12"/>
  <c r="E83" i="12"/>
  <c r="E81" i="12"/>
  <c r="E87" i="12"/>
  <c r="E105" i="12"/>
  <c r="E106" i="12"/>
  <c r="E107" i="12"/>
  <c r="D145" i="12"/>
  <c r="D166" i="12" s="1"/>
  <c r="D146" i="12"/>
  <c r="D167" i="12" s="1"/>
  <c r="D144" i="12"/>
  <c r="D165" i="12" s="1"/>
  <c r="D81" i="12"/>
  <c r="D82" i="12"/>
  <c r="D106" i="12"/>
  <c r="D128" i="12" s="1"/>
  <c r="D107" i="12"/>
  <c r="D129" i="12" s="1"/>
  <c r="D83" i="12"/>
  <c r="E70" i="12" a="1"/>
  <c r="E88" i="12" a="1"/>
  <c r="E115" i="12" a="1"/>
  <c r="E95" i="12" a="1"/>
  <c r="E120" i="12" a="1"/>
  <c r="D119" i="12" l="1"/>
  <c r="D120" i="12" s="1"/>
  <c r="D114" i="12"/>
  <c r="D115" i="12" s="1"/>
  <c r="E88" i="12"/>
  <c r="E95" i="12"/>
  <c r="E120" i="12"/>
  <c r="E70" i="12"/>
  <c r="E115" i="12"/>
  <c r="D157" i="12"/>
  <c r="D152" i="12"/>
  <c r="D88" i="12"/>
  <c r="D147" i="12"/>
  <c r="D109" i="12"/>
  <c r="D95" i="12"/>
  <c r="E121" i="12" a="1"/>
  <c r="E116" i="12" a="1"/>
  <c r="E158" i="12" a="1"/>
  <c r="E148" i="12" a="1"/>
  <c r="E153" i="12" a="1"/>
  <c r="E89" i="12" a="1"/>
  <c r="E110" i="12" a="1"/>
  <c r="E89" i="12" l="1"/>
  <c r="E148" i="12"/>
  <c r="E158" i="12"/>
  <c r="E121" i="12"/>
  <c r="E153" i="12"/>
  <c r="E110" i="12"/>
  <c r="E116" i="12"/>
  <c r="D148" i="12"/>
  <c r="D158" i="12"/>
  <c r="D153" i="12"/>
  <c r="D89" i="12"/>
  <c r="D121" i="12"/>
  <c r="D110" i="12"/>
  <c r="D70" i="12"/>
  <c r="E122" i="12" a="1"/>
  <c r="E154" i="12" a="1"/>
  <c r="E159" i="12" a="1"/>
  <c r="E90" i="12" a="1"/>
  <c r="E71" i="12" a="1"/>
  <c r="E111" i="12" a="1"/>
  <c r="E149" i="12" a="1"/>
  <c r="E90" i="12" l="1"/>
  <c r="E154" i="12"/>
  <c r="E71" i="12"/>
  <c r="E122" i="12"/>
  <c r="E159" i="12"/>
  <c r="E111" i="12"/>
  <c r="E149" i="12"/>
  <c r="D71" i="12"/>
  <c r="D72" i="12" s="1"/>
  <c r="D149" i="12"/>
  <c r="D90" i="12"/>
  <c r="D122" i="12"/>
  <c r="D111" i="12"/>
  <c r="E73" i="12" a="1"/>
  <c r="E112" i="12" a="1"/>
  <c r="E4" i="12" a="1"/>
  <c r="E72" i="12" a="1"/>
  <c r="E91" i="12" a="1"/>
  <c r="E123" i="12" a="1"/>
  <c r="E150" i="12" a="1"/>
  <c r="E91" i="12" l="1"/>
  <c r="E72" i="12"/>
  <c r="E73" i="12"/>
  <c r="E112" i="12"/>
  <c r="E123" i="12"/>
  <c r="E150" i="12"/>
  <c r="D112" i="12"/>
  <c r="D73" i="12"/>
  <c r="G24" i="12"/>
  <c r="D150" i="12"/>
  <c r="D91" i="12"/>
  <c r="D123" i="12"/>
  <c r="E4" i="12"/>
  <c r="E142" i="12" a="1"/>
  <c r="E86" i="12" a="1"/>
  <c r="E92" i="12" a="1"/>
  <c r="E165" i="12" a="1"/>
  <c r="E84" i="12" a="1"/>
  <c r="E74" i="12" a="1"/>
  <c r="E113" i="12" a="1"/>
  <c r="E102" i="12" a="1"/>
  <c r="E167" i="12" a="1"/>
  <c r="E103" i="12" a="1"/>
  <c r="E141" i="12" a="1"/>
  <c r="E85" i="12" a="1"/>
  <c r="E104" i="12" a="1"/>
  <c r="E151" i="12" a="1"/>
  <c r="E143" i="12" a="1"/>
  <c r="E74" i="12" l="1"/>
  <c r="D85" i="12"/>
  <c r="D143" i="12"/>
  <c r="D141" i="12"/>
  <c r="D142" i="12"/>
  <c r="D86" i="12"/>
  <c r="D103" i="12"/>
  <c r="E151" i="12"/>
  <c r="E165" i="12"/>
  <c r="E113" i="12"/>
  <c r="E167" i="12"/>
  <c r="E103" i="12"/>
  <c r="E104" i="12"/>
  <c r="E102" i="12"/>
  <c r="E141" i="12"/>
  <c r="E143" i="12"/>
  <c r="E142" i="12"/>
  <c r="E85" i="12"/>
  <c r="E84" i="12"/>
  <c r="E86" i="12"/>
  <c r="E92" i="12"/>
  <c r="D151" i="12"/>
  <c r="D113" i="12"/>
  <c r="D104" i="12"/>
  <c r="D102" i="12"/>
  <c r="D92" i="12"/>
  <c r="D116" i="12"/>
  <c r="D74" i="12"/>
  <c r="E117" i="12" a="1"/>
  <c r="E126" i="12" a="1"/>
  <c r="E128" i="12" a="1"/>
  <c r="E129" i="12" a="1"/>
  <c r="E172" i="12" a="1"/>
  <c r="E127" i="12" a="1"/>
  <c r="E166" i="12" a="1"/>
  <c r="E124" i="12" a="1"/>
  <c r="E132" i="12" a="1"/>
  <c r="E162" i="12" a="1"/>
  <c r="E168" i="12" a="1"/>
  <c r="D162" i="12" l="1"/>
  <c r="E166" i="12"/>
  <c r="D170" i="12"/>
  <c r="E128" i="12"/>
  <c r="E168" i="12"/>
  <c r="E132" i="12"/>
  <c r="E172" i="12"/>
  <c r="E124" i="12"/>
  <c r="E162" i="12"/>
  <c r="E117" i="12"/>
  <c r="E127" i="12"/>
  <c r="E129" i="12"/>
  <c r="E126" i="12"/>
  <c r="D168" i="12"/>
  <c r="D132" i="12"/>
  <c r="D172" i="12"/>
  <c r="D126" i="12"/>
  <c r="D117" i="12"/>
  <c r="G25" i="12"/>
  <c r="D124" i="12"/>
  <c r="E118" i="12" a="1"/>
  <c r="E130" i="12" a="1"/>
  <c r="E169" i="12" a="1"/>
  <c r="E170" i="12" a="1"/>
  <c r="E134" i="12" a="1"/>
  <c r="E170" i="12" l="1"/>
  <c r="E169" i="12"/>
  <c r="E118" i="12"/>
  <c r="E134" i="12"/>
  <c r="E130" i="12"/>
  <c r="D134" i="12"/>
  <c r="D130" i="12"/>
  <c r="D118" i="12"/>
  <c r="E131" i="12" a="1"/>
  <c r="E125" i="12" a="1"/>
  <c r="E135" i="12" a="1"/>
  <c r="E125" i="12" l="1"/>
  <c r="E131" i="12"/>
  <c r="E135" i="12"/>
  <c r="D125" i="12"/>
  <c r="D133" i="12" s="1"/>
  <c r="D131" i="12"/>
  <c r="D135" i="12"/>
  <c r="E136" i="12" a="1"/>
  <c r="E133" i="12" a="1"/>
  <c r="E136" i="12" l="1"/>
  <c r="E133" i="12"/>
  <c r="D136" i="12"/>
  <c r="E137" i="12" a="1"/>
  <c r="E137" i="12" l="1"/>
  <c r="D137" i="12"/>
  <c r="I25" i="12" l="1"/>
  <c r="E40" i="9" s="1"/>
  <c r="C43" i="9"/>
  <c r="D169" i="12" l="1"/>
  <c r="D154" i="12"/>
  <c r="E155" i="12" a="1"/>
  <c r="E155" i="12" l="1"/>
  <c r="D159" i="12"/>
  <c r="D155" i="12"/>
  <c r="E156" i="12" a="1"/>
  <c r="E160" i="12" a="1"/>
  <c r="E156" i="12" l="1"/>
  <c r="E160" i="12"/>
  <c r="D156" i="12"/>
  <c r="D160" i="12"/>
  <c r="E163" i="12" a="1"/>
  <c r="E161" i="12" a="1"/>
  <c r="E161" i="12" l="1"/>
  <c r="E163" i="12"/>
  <c r="D161" i="12"/>
  <c r="D163" i="12"/>
  <c r="D171" i="12" s="1"/>
  <c r="E171" i="12" a="1"/>
  <c r="E164" i="12" a="1"/>
  <c r="E171" i="12" l="1"/>
  <c r="E164" i="12"/>
  <c r="D164" i="12"/>
  <c r="D173" i="12" s="1"/>
  <c r="E173" i="12" a="1"/>
  <c r="E174" i="12" a="1"/>
  <c r="E174" i="12" l="1"/>
  <c r="E173" i="12"/>
  <c r="D174" i="12"/>
  <c r="D175" i="12" s="1"/>
  <c r="E175" i="12" a="1"/>
  <c r="E175" i="12" l="1"/>
  <c r="F40" i="9"/>
  <c r="J25" i="12"/>
  <c r="D84" i="12"/>
  <c r="E93" i="12" a="1"/>
  <c r="E93" i="12" l="1"/>
  <c r="D93" i="12"/>
  <c r="E94" i="12" a="1"/>
  <c r="E96" i="12" a="1"/>
  <c r="E96" i="12" l="1"/>
  <c r="E94" i="12"/>
  <c r="D94" i="12"/>
  <c r="E97" i="12" a="1"/>
  <c r="E97" i="12" l="1"/>
  <c r="D97" i="12"/>
  <c r="E98" i="12" a="1"/>
  <c r="E98" i="12" l="1"/>
  <c r="D98" i="12"/>
  <c r="D99" i="12" s="1"/>
  <c r="H25" i="12" s="1"/>
  <c r="D40" i="9" s="1"/>
  <c r="E99" i="12" a="1"/>
  <c r="E99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<sst xmlns="http://schemas.openxmlformats.org/spreadsheetml/2006/main" count="662" uniqueCount="359">
  <si>
    <t xml:space="preserve">AVONMOUTH REBAR FACILITY </t>
  </si>
  <si>
    <t>A4100</t>
  </si>
  <si>
    <t>EDB 053 REVB</t>
  </si>
  <si>
    <t>LIFTING SPAN /BRACING BAR CALCULATOR</t>
  </si>
  <si>
    <t>DESIGN BY : EM</t>
  </si>
  <si>
    <t>CHECKED BY RH</t>
  </si>
  <si>
    <t>DATE 24/06/25</t>
  </si>
  <si>
    <t>IF A CAGE HAS DIFFERENT VERT LENGTHS,</t>
  </si>
  <si>
    <t>VERTICAL BAR HEIGHT TO BE ACTUAL BAR LENGTH,</t>
  </si>
  <si>
    <t>SPREADSHEET CAN BE USED TO</t>
  </si>
  <si>
    <t>FOR COUPLED BARS , THE COUPLER WEIGHT IS ADDED  AND INCLUDED IN UDL FACTOR, TBC.?</t>
  </si>
  <si>
    <t>GIVE DIFFERENT SPANS FOR LIFTING BARS</t>
  </si>
  <si>
    <t>PROVIDED NEAR FACE AND FAR FACE ARE SAME HEIGHT</t>
  </si>
  <si>
    <t>THESE CAN BE COUPLER BAR AT TOP (CPL), STRAIGHT BAR (ST)</t>
  </si>
  <si>
    <t>IF FACE HEIGHTS DIFFER THEN SPAN FOR MAX VERT HEIGHT WILL BE USED</t>
  </si>
  <si>
    <t>OR SPLICE VERTICAL BAR (SP)</t>
  </si>
  <si>
    <t>SINGLE CAGE</t>
  </si>
  <si>
    <t>Min Bar Diameter</t>
  </si>
  <si>
    <t>Max Bar Diameter</t>
  </si>
  <si>
    <t>Number of Lacers F1/F3/F5/F7, N1/N3/N5/N7</t>
  </si>
  <si>
    <t>Vert Bar Height F2/F4/F6/F8 (m)</t>
  </si>
  <si>
    <t>TEMPORARY BRACING BARS</t>
  </si>
  <si>
    <r>
      <t xml:space="preserve">MIN. NF1/FF1 = </t>
    </r>
    <r>
      <rPr>
        <sz val="12"/>
        <color theme="1"/>
        <rFont val="Arial Narrow"/>
        <family val="2"/>
      </rPr>
      <t>ø</t>
    </r>
    <r>
      <rPr>
        <b/>
        <sz val="8"/>
        <color theme="1"/>
        <rFont val="Arial Narrow"/>
        <family val="2"/>
      </rPr>
      <t>25 (VERT LP LACER &amp; HARD/SOFT ZONE LACER)</t>
    </r>
  </si>
  <si>
    <r>
      <t xml:space="preserve">MIN. NF1/FF1 = </t>
    </r>
    <r>
      <rPr>
        <sz val="12"/>
        <color theme="1"/>
        <rFont val="Arial Narrow"/>
        <family val="2"/>
      </rPr>
      <t>ø</t>
    </r>
    <r>
      <rPr>
        <b/>
        <sz val="8"/>
        <color theme="1"/>
        <rFont val="Arial Narrow"/>
        <family val="2"/>
      </rPr>
      <t>32 (VERT LP LACER &amp; HARD/SOFT ZONE LACER)</t>
    </r>
  </si>
  <si>
    <r>
      <t xml:space="preserve">MIN. NF1/FF1 = </t>
    </r>
    <r>
      <rPr>
        <sz val="12"/>
        <color theme="1"/>
        <rFont val="Arial Narrow"/>
        <family val="2"/>
      </rPr>
      <t>ø</t>
    </r>
    <r>
      <rPr>
        <b/>
        <sz val="8"/>
        <color theme="1"/>
        <rFont val="Arial Narrow"/>
        <family val="2"/>
      </rPr>
      <t>40 (VERT LP LACER &amp; HARD/SOFT ZONE LACER)</t>
    </r>
  </si>
  <si>
    <t xml:space="preserve">SINGLE MESH - HORIZONTAL LIFTING DETAILS </t>
  </si>
  <si>
    <t>F1</t>
  </si>
  <si>
    <t>WALL WIDTH W (m)</t>
  </si>
  <si>
    <t>STRUT -BAR (ømm)</t>
  </si>
  <si>
    <r>
      <t xml:space="preserve">FACE -BAR </t>
    </r>
    <r>
      <rPr>
        <sz val="8"/>
        <color theme="1"/>
        <rFont val="Arial Narrow"/>
        <family val="2"/>
      </rPr>
      <t>(</t>
    </r>
    <r>
      <rPr>
        <b/>
        <sz val="8"/>
        <color theme="1"/>
        <rFont val="Arial Narrow"/>
        <family val="2"/>
      </rPr>
      <t>ømm)</t>
    </r>
  </si>
  <si>
    <t>PLAN BRACE-BAR (ømm)</t>
  </si>
  <si>
    <t>EVERY x No. of LIFTING POINTS / PLAN BRACE REQUIRED</t>
  </si>
  <si>
    <t>WALL HEIGHT HT:</t>
  </si>
  <si>
    <r>
      <rPr>
        <sz val="8"/>
        <color theme="1"/>
        <rFont val="Calibri"/>
        <family val="2"/>
      </rPr>
      <t xml:space="preserve">HT ≤ </t>
    </r>
    <r>
      <rPr>
        <sz val="8"/>
        <color theme="1"/>
        <rFont val="Arial Narrow"/>
        <family val="2"/>
      </rPr>
      <t>4m</t>
    </r>
  </si>
  <si>
    <r>
      <t xml:space="preserve">4m </t>
    </r>
    <r>
      <rPr>
        <sz val="8"/>
        <color theme="1"/>
        <rFont val="Calibri"/>
        <family val="2"/>
      </rPr>
      <t>&lt; HT</t>
    </r>
    <r>
      <rPr>
        <sz val="8"/>
        <color theme="1"/>
        <rFont val="Arial Narrow"/>
        <family val="2"/>
      </rPr>
      <t xml:space="preserve"> ≤ 5m </t>
    </r>
  </si>
  <si>
    <r>
      <t xml:space="preserve">5m </t>
    </r>
    <r>
      <rPr>
        <sz val="8"/>
        <color theme="1"/>
        <rFont val="Calibri"/>
        <family val="2"/>
      </rPr>
      <t>&lt; HT</t>
    </r>
    <r>
      <rPr>
        <sz val="8"/>
        <color theme="1"/>
        <rFont val="Arial Narrow"/>
        <family val="2"/>
      </rPr>
      <t xml:space="preserve"> ≤ 6m </t>
    </r>
  </si>
  <si>
    <t>CAGE HEIGHT H:</t>
  </si>
  <si>
    <r>
      <rPr>
        <b/>
        <sz val="8"/>
        <color theme="1"/>
        <rFont val="Calibri"/>
        <family val="2"/>
      </rPr>
      <t xml:space="preserve">≤ </t>
    </r>
    <r>
      <rPr>
        <b/>
        <sz val="8"/>
        <color theme="1"/>
        <rFont val="Arial Narrow"/>
        <family val="2"/>
      </rPr>
      <t>4m</t>
    </r>
  </si>
  <si>
    <r>
      <t xml:space="preserve">4m </t>
    </r>
    <r>
      <rPr>
        <b/>
        <sz val="8"/>
        <color theme="1"/>
        <rFont val="Calibri"/>
        <family val="2"/>
      </rPr>
      <t>&lt; TO</t>
    </r>
    <r>
      <rPr>
        <b/>
        <sz val="8"/>
        <color theme="1"/>
        <rFont val="Arial Narrow"/>
        <family val="2"/>
      </rPr>
      <t xml:space="preserve"> ≤ 5m </t>
    </r>
  </si>
  <si>
    <r>
      <t xml:space="preserve">5m </t>
    </r>
    <r>
      <rPr>
        <b/>
        <sz val="8"/>
        <color theme="1"/>
        <rFont val="Calibri"/>
        <family val="2"/>
      </rPr>
      <t>&lt; TO</t>
    </r>
    <r>
      <rPr>
        <b/>
        <sz val="8"/>
        <color theme="1"/>
        <rFont val="Arial Narrow"/>
        <family val="2"/>
      </rPr>
      <t xml:space="preserve"> ≤ 6m </t>
    </r>
  </si>
  <si>
    <t>F2</t>
  </si>
  <si>
    <t>UDL FACTOR = NON MESH WT/ MESH WT</t>
  </si>
  <si>
    <t>MAX. HORIZONTAL LIFT: LIFTING POINT SPACINGS = SP (m) (MAX. CANTILEVER CT= SP / 3)</t>
  </si>
  <si>
    <t>VERTICAL BARS WITH TOP COUPLERS</t>
  </si>
  <si>
    <t>L1</t>
  </si>
  <si>
    <t>0.25 H</t>
  </si>
  <si>
    <t>F3</t>
  </si>
  <si>
    <t>L2</t>
  </si>
  <si>
    <t>0.62 H</t>
  </si>
  <si>
    <t>F4</t>
  </si>
  <si>
    <t>VERTICAL BARS WITH SPLICE</t>
  </si>
  <si>
    <t>F5</t>
  </si>
  <si>
    <t>0.69 H</t>
  </si>
  <si>
    <t>F6</t>
  </si>
  <si>
    <t>F7</t>
  </si>
  <si>
    <t>DOUBLE CAGE</t>
  </si>
  <si>
    <t>1.0</t>
  </si>
  <si>
    <t xml:space="preserve">DOUBLE MESH - HORIZONTAL LIFTING DETAILS </t>
  </si>
  <si>
    <t>F8</t>
  </si>
  <si>
    <t>N1</t>
  </si>
  <si>
    <t>L3</t>
  </si>
  <si>
    <t>0.29 H</t>
  </si>
  <si>
    <t>N2</t>
  </si>
  <si>
    <t>L4</t>
  </si>
  <si>
    <t>0.65 H</t>
  </si>
  <si>
    <t>N3</t>
  </si>
  <si>
    <t>L3 (C40 VERTS)</t>
  </si>
  <si>
    <t>0.2 H</t>
  </si>
  <si>
    <t>N4</t>
  </si>
  <si>
    <t>L3 (C32 VERTS)</t>
  </si>
  <si>
    <t>0.22 H</t>
  </si>
  <si>
    <t>N5</t>
  </si>
  <si>
    <t>L3 (C25 VERTS)</t>
  </si>
  <si>
    <t>0.23 H</t>
  </si>
  <si>
    <t>N6</t>
  </si>
  <si>
    <t>L4 (C40 VERTS)</t>
  </si>
  <si>
    <t>0.49H</t>
  </si>
  <si>
    <t>N7</t>
  </si>
  <si>
    <t>TRIPLE CAGE</t>
  </si>
  <si>
    <t>L4 (C32 VERTS)</t>
  </si>
  <si>
    <t>0.52H</t>
  </si>
  <si>
    <t>N8</t>
  </si>
  <si>
    <t>L4 (C25 VERTS)</t>
  </si>
  <si>
    <t>0.55H</t>
  </si>
  <si>
    <t>UDL Factor</t>
  </si>
  <si>
    <t xml:space="preserve">                             TEMPORARY BRACING BARS </t>
  </si>
  <si>
    <t>STRUT</t>
  </si>
  <si>
    <t xml:space="preserve">VERT Z - BAR </t>
  </si>
  <si>
    <t>PLAN Z-BAR</t>
  </si>
  <si>
    <t>EVERY x NO  OF LIFTING POINTS/ PLAN BRACE REQUIRED</t>
  </si>
  <si>
    <t xml:space="preserve">TRIPLE MESH - HORIZONTAL LIFTING DETAILS </t>
  </si>
  <si>
    <t>CONCRETE WALL WIDTH (m)</t>
  </si>
  <si>
    <t>OK/ NOT OK</t>
  </si>
  <si>
    <t xml:space="preserve">ANY WALL WIDTH CAN BE USED IE 0.5- 2.62m </t>
  </si>
  <si>
    <t xml:space="preserve">MAX SPAN FOR SINGLE /TRIPLE &amp; QUAD CAGES TO BE C25&lt;1.8m,C32&lt;2.2m &amp; C40 &lt;2.2m (NF1/FF1) </t>
  </si>
  <si>
    <t>QUAD CAGE</t>
  </si>
  <si>
    <t>MAX. HORIZONTAL LIFT: LIFTING POINT SPACINGS = SP (m) (MAX. CANTILEVER CT = SP / 3)</t>
  </si>
  <si>
    <t>MAX LIFTING POINT SPAN</t>
  </si>
  <si>
    <t xml:space="preserve">MAX SPAN FOR DOUBLE CAGES TO BE C25&lt;1.8m,C32&lt;1.8m &amp; C40 &lt;2.2m (NF1/FF1) </t>
  </si>
  <si>
    <t>`</t>
  </si>
  <si>
    <t>ACTUAL UDL FACTOR MAX 1.2?</t>
  </si>
  <si>
    <t>IDEALLY TO HAVE  A MINIMUM OF 1 BRACE FOR</t>
  </si>
  <si>
    <t>Inside Cover</t>
  </si>
  <si>
    <t>SMALLER CAGES AND PREFERABLY MAX 3NO PLAN BRACES FOR LONGER CAGES</t>
  </si>
  <si>
    <t>Outside Cover</t>
  </si>
  <si>
    <t xml:space="preserve">THEREFORE FOR MAX (1-6) LIFTING POINTS USE 1 BRACE, FOR CAGES WITH MORE LIFTING POINTS, </t>
  </si>
  <si>
    <t>Link Diameter</t>
  </si>
  <si>
    <t xml:space="preserve">USE 2NO BRACES  FOR (7-18) LIFTING POINTS &amp; 3No BRACES FOR &gt; 19 LIFTING POINTS </t>
  </si>
  <si>
    <t xml:space="preserve">(DIVIDE NUMBER OF LIFTING POINTS/ NO OF BRACES (1-3) AND PUT ACTUAL NUMBER IN THIS BOX) </t>
  </si>
  <si>
    <t>ALWAYS ROUND UP TO NEXT NUMBER IN RANGE 1-6</t>
  </si>
  <si>
    <t>fy=</t>
  </si>
  <si>
    <r>
      <t>N/mm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</si>
  <si>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t>FACTORED AXIAL STRESS=</t>
  </si>
  <si>
    <t>What the Calculation Is Intended to Do</t>
  </si>
  <si>
    <t>What the Formula is</t>
  </si>
  <si>
    <t>The actual calculation</t>
  </si>
  <si>
    <t xml:space="preserve">Number of Lacers F1/F3/F5/F7, N1/N3/N5/N7 </t>
  </si>
  <si>
    <t>VERT BARS STRAIGHT/COUPLER (ST/CPL) OR SPLICE (SPL) FOR F2/F4/F6 etc</t>
  </si>
  <si>
    <t>BAR RIB SIZE</t>
  </si>
  <si>
    <t xml:space="preserve">FF1 NO OF LACERS </t>
  </si>
  <si>
    <t>FACTORY LACER COUNT</t>
  </si>
  <si>
    <t xml:space="preserve">Dia </t>
  </si>
  <si>
    <t>RIB DIA</t>
  </si>
  <si>
    <t>weight</t>
  </si>
  <si>
    <t>Area</t>
  </si>
  <si>
    <t xml:space="preserve">I </t>
  </si>
  <si>
    <t>EI</t>
  </si>
  <si>
    <t>Wel</t>
  </si>
  <si>
    <t>Wpl</t>
  </si>
  <si>
    <t>fy Wel</t>
  </si>
  <si>
    <t>fy Wpl</t>
  </si>
  <si>
    <t>PLASTIC/ 1.5</t>
  </si>
  <si>
    <t>LACER MAX DESIGN LIFT LOAD</t>
  </si>
  <si>
    <t>Bar Bending Radius</t>
  </si>
  <si>
    <t>45 DEGREE BRACE OFFSET</t>
  </si>
  <si>
    <t>30 DEGREE BRACE OFFSET</t>
  </si>
  <si>
    <t>60 DEGREE FACE OFFSET</t>
  </si>
  <si>
    <t>H STRUT OFFSET</t>
  </si>
  <si>
    <t xml:space="preserve">FF3 NO OF LACERS </t>
  </si>
  <si>
    <t>ST/ CPL</t>
  </si>
  <si>
    <t>(mm)</t>
  </si>
  <si>
    <t>(kg/m)</t>
  </si>
  <si>
    <t>(mm2)</t>
  </si>
  <si>
    <t>(mm4)</t>
  </si>
  <si>
    <t>(kNm2)</t>
  </si>
  <si>
    <t>(mm3)</t>
  </si>
  <si>
    <t>(kNm)</t>
  </si>
  <si>
    <t>(kN)</t>
  </si>
  <si>
    <t>mm</t>
  </si>
  <si>
    <t xml:space="preserve">FF5 NO OF LACERS </t>
  </si>
  <si>
    <t xml:space="preserve">FF7 NO OF LACERS </t>
  </si>
  <si>
    <t xml:space="preserve">NF1 NO OF LACERS </t>
  </si>
  <si>
    <t xml:space="preserve">NF3 NO OF LACERS </t>
  </si>
  <si>
    <t xml:space="preserve">NF5 NO OF LACERS </t>
  </si>
  <si>
    <t xml:space="preserve">NF7 NO OF LACERS </t>
  </si>
  <si>
    <t>FAR FACE  1-2 LACERS D UDL (1.2 DYN FACTOR) (kN/m)</t>
  </si>
  <si>
    <t>F1 x No of lacers= MAX mass/m x no x 1.35x1.2x9.81/1000  + F2 x ht = mass/m x ht x 1.35x1.2x9.82/ 1000x0.2</t>
  </si>
  <si>
    <t>FAR FACE  1-2 LIFTING LACERS D UDL (1.2 DYN FACTOR) (kN/m)</t>
  </si>
  <si>
    <t>F1 x 2 No of lacers= MAX mass/m x no x 1.35x1.2x9.81/1000  + F2 x ht = mass/m x ht x 1.35x1.2x9.82/ 1000x0.2</t>
  </si>
  <si>
    <t>FAR FACE  3-4 LACERS D UDL (1.2 DYN FACTOR) (kN/m)</t>
  </si>
  <si>
    <t xml:space="preserve"> F3 DITTO</t>
  </si>
  <si>
    <t>FAR FACE  3-4 LIFTINGLACERS D UDL (1.2 DYN FACTOR) (kN/m)</t>
  </si>
  <si>
    <t>FAR FACE  5-6 LACERS D UDL (1.2 DYN FACTOR) (kN/m)</t>
  </si>
  <si>
    <t xml:space="preserve"> F5 DITTO</t>
  </si>
  <si>
    <t>FAR FACE  5-6 LIFTING LACERS D UDL (1.2 DYN FACTOR) (kN/m)</t>
  </si>
  <si>
    <t>FAR FACE  7-8 LACERS D UDL (1.2 DYN FACTOR) (kN/m)</t>
  </si>
  <si>
    <t xml:space="preserve"> F7 DITTO</t>
  </si>
  <si>
    <t>FAR FACE  7-8 LIFTING LACERS D UDL (1.2 DYN FACTOR) (kN/m)</t>
  </si>
  <si>
    <t>FAR FACE 1-2 LACERS D UDL (UDL FACTOR &amp; 1.3 DYN FACTOR) (kN/m)</t>
  </si>
  <si>
    <t>F1 x 1.3/1.2</t>
  </si>
  <si>
    <t>FAR FACE 1-2 LIFTING LACERS D UDL (UDL FACTOR &amp; 1.3 DYN FACTOR) (kN/m)</t>
  </si>
  <si>
    <t>FAR FACE 3-4 LACERS D UDL (UDL FACTOR &amp; 1.3 DYN FACTOR) (kN/m)</t>
  </si>
  <si>
    <t>F3 x 1.3/1.2</t>
  </si>
  <si>
    <t xml:space="preserve">TEMPORARY BRACING BARS </t>
  </si>
  <si>
    <t>FAR FACE 3-4 LIFTING LACERS D UDL (UDL FACTOR &amp; 1.3 DYN FACTOR) (kN/m)</t>
  </si>
  <si>
    <t>WALL WIDTH</t>
  </si>
  <si>
    <t>U-BAR</t>
  </si>
  <si>
    <t>FAR FACE 5-6 LACERS D UDL (UDL FACTOR &amp; 1.3 DYN FACTOR) (kN/m)</t>
  </si>
  <si>
    <t>F5 x 1.3/1.2</t>
  </si>
  <si>
    <t>SPAN SPECIFIED</t>
  </si>
  <si>
    <t>FAR FACE 5-6 LIFTING LACERS D UDL (UDL FACTOR &amp; 1.3 DYN FACTOR) (kN/m)</t>
  </si>
  <si>
    <t>FAR FACE 7-8 LACERS D UDL (UDL FACTOR &amp; 1.3 DYN FACTOR) (kN/m)</t>
  </si>
  <si>
    <t>F7 x 1.3/1.2</t>
  </si>
  <si>
    <t>FAR FACE 7-8 LIFTING LACERS D UDL (UDL FACTOR &amp; 1.3 DYN FACTOR) (kN/m)</t>
  </si>
  <si>
    <t>Nominal Width of Bars</t>
  </si>
  <si>
    <t>FAR FACE LACERS D UDL (UDL FACTOR &amp; 1.3 DYN FACTOR) (kN/m)</t>
  </si>
  <si>
    <t>UDL (F1-F8)x(1 + udl factor)</t>
  </si>
  <si>
    <t>Width of Spacers</t>
  </si>
  <si>
    <t>FAR FACE LIFTING LACERS D UDL (UDL FACTOR &amp; 1.3 DYN FACTOR) (kN/m)</t>
  </si>
  <si>
    <t>Width of Cover</t>
  </si>
  <si>
    <t>NEAR FACE  1-2 LACERS D UDL (1.2 DYN FACTOR) (kN/m)</t>
  </si>
  <si>
    <t>N1 DITTO</t>
  </si>
  <si>
    <t>Width of Links</t>
  </si>
  <si>
    <t>NEAR FACE  1-2 LIFTING LACERS D UDL (1.2 DYN FACTOR) (kN/m)</t>
  </si>
  <si>
    <t>NEAR FACE  3-4 LACERS D UDL (1.2 DYN FACTOR) (kN/m)</t>
  </si>
  <si>
    <t>N3 DITTO</t>
  </si>
  <si>
    <t>NEAR FACE  3-4 LIFTING LACERS D UDL (1.2 DYN FACTOR) (kN/m)</t>
  </si>
  <si>
    <t>NEAR FACE  5-6 LACERS D UDL (1.2 DYN FACTOR) (kN/m)</t>
  </si>
  <si>
    <t>N5 DITTO</t>
  </si>
  <si>
    <t>NEAR FACE  5-6 LIFTING LACERS D UDL (1.2 DYN FACTOR) (kN/m)</t>
  </si>
  <si>
    <t>NEAR FACE  7-8 LACERS D UDL (1.2 DYN FACTOR) (kN/m)</t>
  </si>
  <si>
    <t>N7 DITTO</t>
  </si>
  <si>
    <t>NEAR FACE  7-8 LIFTING LACERS D UDL (1.2 DYN FACTOR) (kN/m)</t>
  </si>
  <si>
    <t>NEAR FACE 1-2 LACERS D UDL (UDL FACTOR &amp; 1.3 DYN FACTOR) (kN/m)</t>
  </si>
  <si>
    <t>N1 x 1.3/1.2</t>
  </si>
  <si>
    <t>NEAR FACE 1-2 LIFTING LACERS D UDL (UDL FACTOR &amp; 1.3 DYN FACTOR) (kN/m)</t>
  </si>
  <si>
    <t>NEAR FACE 3-4 LACERS D UDL (UDL FACTOR &amp; 1.3 DYN FACTOR) (kN/m)</t>
  </si>
  <si>
    <t>N3 x 1.3/1.2</t>
  </si>
  <si>
    <t>NEAR FACE 3-4 LIFTING LACERS D UDL (UDL FACTOR &amp; 1.3 DYN FACTOR) (kN/m)</t>
  </si>
  <si>
    <t>NEAR FACE 5-6 LIFTING LACERS D UDL (UDL FACTOR &amp; 1.3 DYN FACTOR) (kN/m)</t>
  </si>
  <si>
    <t>N5 x 1.3/1.2</t>
  </si>
  <si>
    <t>NEAR FACE 7-8 LACERS D UDL (UDL FACTOR &amp; 1.3 DYN FACTOR) (kN/m)</t>
  </si>
  <si>
    <t>N7 x 1.3/1.2</t>
  </si>
  <si>
    <t>NEAR FACE 7-8 LIFTING LACERS D UDL (UDL FACTOR &amp; 1.3 DYN FACTOR) (kN/m)</t>
  </si>
  <si>
    <t>NEAR FACE LIFTING LACERS D UDL (UDL FACTOR &amp; 1.3 DYN FACTOR) (kN/m)</t>
  </si>
  <si>
    <t>UDL (N1-N8)x(1 + udl factor)</t>
  </si>
  <si>
    <t>FAR FACE 1-8 LACERS TOTAL D UDL (1.3 DYN FACTOR) (kN/m)</t>
  </si>
  <si>
    <t>UDL F1 -2 +(UDL F1-8)X udl factor</t>
  </si>
  <si>
    <t>FAR FACE 1-8 LIFTING LACERS TOTAL D UDL (1.3 DYN FACTOR) (kN/m)</t>
  </si>
  <si>
    <t>NEAR FACE 1-8 LIFTING 2 LACERS TOTAL D UDL ( 1.3 DYN FACTOR) (kN/m)</t>
  </si>
  <si>
    <t>UDL N1 -2 +(UDL F1-8)x udl factor</t>
  </si>
  <si>
    <t xml:space="preserve">ASSUME 1.5M LEG BASKET LIFT IN FACTORY </t>
  </si>
  <si>
    <t>FF 1-2MAX SPAN (m)</t>
  </si>
  <si>
    <r>
      <t xml:space="preserve">F1-F2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F1 MIN LACER x 2 LACERS x 8/ F1-2 D UDL)</t>
    </r>
  </si>
  <si>
    <t>ASSUME 3M LEG BASKET LIFT ON SITE</t>
  </si>
  <si>
    <t>FF 3-4MAX SPAN (m)</t>
  </si>
  <si>
    <r>
      <t xml:space="preserve">F1-F2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F3 MIN LACER x 2 LACERS x 8/ F1-2 D UDL)</t>
    </r>
  </si>
  <si>
    <t xml:space="preserve">FF 5-6 MAX SPAN </t>
  </si>
  <si>
    <r>
      <t xml:space="preserve">F5-F6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F3 MIN LACER x 2LACERS  x 8/ F1-2 D UDL)</t>
    </r>
  </si>
  <si>
    <t xml:space="preserve">FF 7-8 MAX SPAN </t>
  </si>
  <si>
    <r>
      <t xml:space="preserve">F7-F8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F3 MIN LACER x 2LACERS  x 8/ F1-2 D UDL)</t>
    </r>
  </si>
  <si>
    <t>FF MAX SPAN USED (m)</t>
  </si>
  <si>
    <t>MIN SPAN FOR F1-2, F3-4, F5-6 &amp; F 7-8</t>
  </si>
  <si>
    <t>NF 1-2 MAX SPAN (m)</t>
  </si>
  <si>
    <r>
      <t xml:space="preserve">N1-N2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N1 MIN LACER x 2 LACERS x 8/ F1-2 D UDL)</t>
    </r>
  </si>
  <si>
    <t>NF 3-4 MAX SPAN (m)</t>
  </si>
  <si>
    <r>
      <t xml:space="preserve">N3-N4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N3 MIN LACER x 2 LACERS x 8/ F1-2 D UDL)</t>
    </r>
  </si>
  <si>
    <t>NF 5-6 MAX SPAN (m)</t>
  </si>
  <si>
    <r>
      <t xml:space="preserve">N5-N6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N5 MIN LACER x 2 LACERS x 8/ F1-2 D UDL)</t>
    </r>
  </si>
  <si>
    <t>NF 7-8 MAX SPAN (m)</t>
  </si>
  <si>
    <r>
      <t xml:space="preserve">N7-N8 SITE DYN FACTOR 1.3 , DESIGN SPAN = 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 xml:space="preserve"> (MR (MP/1.5) For N5 MIN LACER x 2 LACERS x 8/ F1-2 D UDL)</t>
    </r>
  </si>
  <si>
    <t>NF MAX SPAN USED (m)</t>
  </si>
  <si>
    <t>MIN SPAN FOR NF1-2, NF3-4, NF 5-6  &amp; NF 7-8</t>
  </si>
  <si>
    <t>Min NF/FF Span</t>
  </si>
  <si>
    <t xml:space="preserve">MIN FOR FAR FACE AND NEAR FACE SPANS </t>
  </si>
  <si>
    <t>LIFTING SPAN SPECIFIED  (m)</t>
  </si>
  <si>
    <t>MIN SPAN ROUNDED DOWN TO NEREST 0.2m</t>
  </si>
  <si>
    <t>FF1 MAX SITE LIFTING LOAD  (kN)</t>
  </si>
  <si>
    <t>CALCULATE MAX SITE LIFTING LOAD FOR F1-F2, USE MAX F1-F2 DESIGN UDL (1.3DYN) x MIN SPAN X 1.1 (CONT)</t>
  </si>
  <si>
    <t>NF1 MAX SITE LIFTING LOAD   (kN)</t>
  </si>
  <si>
    <t>CALCULATE MAX SITE LIFTING LOAD FOR N1-N2, USE MAX N1-N2 DESIGN UDL (1.3DYN) x MIN SPAN X 1.1 (CONT)</t>
  </si>
  <si>
    <t>FF1/ NF1 MAX SITE DESIGN 1.3 FACTOR LIFTING LOAD   (kN)</t>
  </si>
  <si>
    <t xml:space="preserve">CONFIRM MAX LIFTED LOAD &lt; C32/C40 &lt;138.9kN, C25&lt;119.1kN,C20&lt;79.4kN). </t>
  </si>
  <si>
    <t xml:space="preserve">NO OF MESHES IN BOTH FACES </t>
  </si>
  <si>
    <t>COUNT NUMBER OF MESHES IN BOTH FACES, TO BE USED IN SPACER CALCULATIONS BELOW</t>
  </si>
  <si>
    <t>MAX GAP BETWEEN NEAREST VERTS  (mm)</t>
  </si>
  <si>
    <t>MAX GAP CALCULATED ASSUMING 60mm COVER EACH FACE PLUS 19mm FOR C16 SHEAR LINKS &amp; A NOMINAL 8mm SPACER BETWEEN EACH MESH</t>
  </si>
  <si>
    <t>MIN GAP BETWEEN NEAREST VERTS  (mm)</t>
  </si>
  <si>
    <t>MIN GAP CALCULATED ASSUMING 60mm COVER EACH FACE PLUS 19mm FOR C16 SHEAR LINKS &amp; A NOMINAL 42mm SPACER BETWEEN EACH MESH</t>
  </si>
  <si>
    <t>STRUT SIZE</t>
  </si>
  <si>
    <t>SELECT A U BAR SIZE AND CHECK IF IT IS SUITABLE FOR THE APPLIED LOAD.</t>
  </si>
  <si>
    <t>FACTORY VERTICAL LEG HEIGHT 1.5m LEG</t>
  </si>
  <si>
    <r>
      <t>V =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>(</t>
    </r>
    <r>
      <rPr>
        <sz val="10"/>
        <color theme="1"/>
        <rFont val="Calibri"/>
        <family val="2"/>
        <scheme val="minor"/>
      </rPr>
      <t xml:space="preserve"> 1.5^2-(MAX GAP/2)^2)</t>
    </r>
  </si>
  <si>
    <t>FACTORY VERTICAL LEG HEIGHT 2.5m LEG</t>
  </si>
  <si>
    <r>
      <t>V =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>(</t>
    </r>
    <r>
      <rPr>
        <sz val="10"/>
        <color theme="1"/>
        <rFont val="Calibri"/>
        <family val="2"/>
        <scheme val="minor"/>
      </rPr>
      <t xml:space="preserve"> 2.5^2-(MAX GAP/2)^2)</t>
    </r>
  </si>
  <si>
    <t xml:space="preserve">SITE VERTICAL LEG HEIGHT 3m LEG </t>
  </si>
  <si>
    <r>
      <t>V =</t>
    </r>
    <r>
      <rPr>
        <sz val="10"/>
        <color theme="1"/>
        <rFont val="Arial"/>
        <family val="2"/>
      </rPr>
      <t>√</t>
    </r>
    <r>
      <rPr>
        <sz val="8.5"/>
        <color theme="1"/>
        <rFont val="Calibri"/>
        <family val="2"/>
      </rPr>
      <t>(</t>
    </r>
    <r>
      <rPr>
        <sz val="10"/>
        <color theme="1"/>
        <rFont val="Calibri"/>
        <family val="2"/>
        <scheme val="minor"/>
      </rPr>
      <t xml:space="preserve"> 3^2-(MAX GAP/2)^2)</t>
    </r>
  </si>
  <si>
    <r>
      <t>STRUT 1.5m FACTORY LOAD 1.2 FACTOR N</t>
    </r>
    <r>
      <rPr>
        <b/>
        <vertAlign val="subscript"/>
        <sz val="11"/>
        <color rgb="FF000000"/>
        <rFont val="Calibri"/>
        <family val="2"/>
        <scheme val="minor"/>
      </rPr>
      <t>Ed</t>
    </r>
    <r>
      <rPr>
        <b/>
        <sz val="11"/>
        <color rgb="FF000000"/>
        <rFont val="Calibri"/>
        <family val="2"/>
        <scheme val="minor"/>
      </rPr>
      <t xml:space="preserve"> (kN)</t>
    </r>
  </si>
  <si>
    <t>U-BAR LOAD IS CALCULATED = MAX LEG LOAD X ((MAX GAP/2)/ VERT LEG HEIGHT)</t>
  </si>
  <si>
    <r>
      <t>STRUT 2.5m FACTORY LOAD 1.2 FACTOR N</t>
    </r>
    <r>
      <rPr>
        <b/>
        <vertAlign val="subscript"/>
        <sz val="11"/>
        <color rgb="FF000000"/>
        <rFont val="Calibri"/>
        <family val="2"/>
        <scheme val="minor"/>
      </rPr>
      <t>Ed</t>
    </r>
    <r>
      <rPr>
        <b/>
        <sz val="11"/>
        <color rgb="FF000000"/>
        <rFont val="Calibri"/>
        <family val="2"/>
        <scheme val="minor"/>
      </rPr>
      <t xml:space="preserve"> (kN)</t>
    </r>
  </si>
  <si>
    <r>
      <t>STRUT  SITE LOAD 1.3 FACTOR N</t>
    </r>
    <r>
      <rPr>
        <b/>
        <vertAlign val="subscript"/>
        <sz val="11"/>
        <color rgb="FF000000"/>
        <rFont val="Calibri"/>
        <family val="2"/>
        <scheme val="minor"/>
      </rPr>
      <t>Ed</t>
    </r>
    <r>
      <rPr>
        <b/>
        <sz val="11"/>
        <color rgb="FF000000"/>
        <rFont val="Calibri"/>
        <family val="2"/>
        <scheme val="minor"/>
      </rPr>
      <t xml:space="preserve"> (kN)</t>
    </r>
  </si>
  <si>
    <t>MAX STRUT SPAN Lcry (m)</t>
  </si>
  <si>
    <t>MAX GAP BETWEEN VERTS</t>
  </si>
  <si>
    <t>Ncr= π2EI/L2cry (kN)</t>
  </si>
  <si>
    <r>
      <t xml:space="preserve">Ncr calculation = </t>
    </r>
    <r>
      <rPr>
        <sz val="10"/>
        <color theme="1"/>
        <rFont val="GreekC"/>
      </rPr>
      <t>p</t>
    </r>
    <r>
      <rPr>
        <sz val="8.5"/>
        <color theme="1"/>
        <rFont val="Calibri"/>
        <family val="2"/>
      </rPr>
      <t>^2 x EI/ Lcry^2</t>
    </r>
  </si>
  <si>
    <r>
      <t>λ</t>
    </r>
    <r>
      <rPr>
        <b/>
        <vertAlign val="superscript"/>
        <sz val="11"/>
        <color rgb="FF000000"/>
        <rFont val="Calibri"/>
        <family val="2"/>
        <scheme val="minor"/>
      </rPr>
      <t>-</t>
    </r>
    <r>
      <rPr>
        <b/>
        <sz val="11"/>
        <color indexed="8"/>
        <rFont val="Calibri"/>
        <family val="2"/>
        <scheme val="minor"/>
      </rPr>
      <t xml:space="preserve"> =√(Axfy/Ncr) </t>
    </r>
  </si>
  <si>
    <t xml:space="preserve">λ- =√(Axfy/Ncr) </t>
  </si>
  <si>
    <t>Ø= 0.5x[1+α(λ--0.2)+λ-2 ]</t>
  </si>
  <si>
    <r>
      <t>Ø= 0.5x[1+α(λ</t>
    </r>
    <r>
      <rPr>
        <vertAlign val="superscript"/>
        <sz val="11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>-0.2)+λ-2 ]</t>
    </r>
  </si>
  <si>
    <t>χ=1/[Ø+√(Ø2-λ-2 )]</t>
  </si>
  <si>
    <t>Nbrd = χxAfy/gm1 (kN)</t>
  </si>
  <si>
    <t>MAX Ned</t>
  </si>
  <si>
    <t>IF WALL&gt;2.2m USE FACT Ned</t>
  </si>
  <si>
    <t>Check NEd/Nbrd</t>
  </si>
  <si>
    <t>Check NEd/Nbrd &lt; 1.0</t>
  </si>
  <si>
    <t>Bending Strut length (m)</t>
  </si>
  <si>
    <t>STRAIGHT STRUT + RIB SIZE + BENDING RADIUS</t>
  </si>
  <si>
    <t xml:space="preserve"> MEd  (kN)</t>
  </si>
  <si>
    <t>MAX SW BM WL2/8 USE 1.3 DF</t>
  </si>
  <si>
    <t>Check MEd/MRd</t>
  </si>
  <si>
    <t>Check MEd/MRd (Plastic Moment capacity/1.5)</t>
  </si>
  <si>
    <t>Ned/Nbrd+MEd/MRd</t>
  </si>
  <si>
    <t xml:space="preserve"> CHECK &lt; 1.0 OK</t>
  </si>
  <si>
    <t>VERTICAL BRACE SIZE</t>
  </si>
  <si>
    <t>SELECT A V BRACE BAR SIZE AND CHECK IF IT IS SUITABLE FOR THE APPLIED LOAD.</t>
  </si>
  <si>
    <r>
      <t>VERTICAL BRACE LOAD 45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2.5% 1.3 FACTOR N</t>
    </r>
    <r>
      <rPr>
        <b/>
        <vertAlign val="subscript"/>
        <sz val="11"/>
        <color rgb="FF000000"/>
        <rFont val="Calibri"/>
        <family val="2"/>
        <scheme val="minor"/>
      </rPr>
      <t>Ed</t>
    </r>
    <r>
      <rPr>
        <b/>
        <sz val="11"/>
        <color rgb="FF000000"/>
        <rFont val="Calibri"/>
        <family val="2"/>
        <scheme val="minor"/>
      </rPr>
      <t xml:space="preserve">  (kN)</t>
    </r>
  </si>
  <si>
    <r>
      <t xml:space="preserve">BRACE LOAD = 2.5% OF VERT LIFT LOAD X </t>
    </r>
    <r>
      <rPr>
        <sz val="11"/>
        <color theme="1"/>
        <rFont val="Arial"/>
        <family val="2"/>
      </rPr>
      <t>√</t>
    </r>
    <r>
      <rPr>
        <sz val="9.35"/>
        <color theme="1"/>
        <rFont val="Calibri"/>
        <family val="2"/>
      </rPr>
      <t>2 (BRACE AT 45</t>
    </r>
    <r>
      <rPr>
        <sz val="9.35"/>
        <color theme="1"/>
        <rFont val="GreekC"/>
      </rPr>
      <t>°</t>
    </r>
    <r>
      <rPr>
        <sz val="7.95"/>
        <color theme="1"/>
        <rFont val="Calibri"/>
        <family val="2"/>
      </rPr>
      <t xml:space="preserve"> TO VERTICAL)</t>
    </r>
  </si>
  <si>
    <r>
      <t>VERTICAL BRACE LOAD 30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2.5% 1.3 FACTOR N</t>
    </r>
    <r>
      <rPr>
        <b/>
        <vertAlign val="subscript"/>
        <sz val="11"/>
        <color rgb="FF000000"/>
        <rFont val="Calibri"/>
        <family val="2"/>
        <scheme val="minor"/>
      </rPr>
      <t>Ed</t>
    </r>
    <r>
      <rPr>
        <b/>
        <sz val="11"/>
        <color rgb="FF000000"/>
        <rFont val="Calibri"/>
        <family val="2"/>
        <scheme val="minor"/>
      </rPr>
      <t xml:space="preserve">  (kN)</t>
    </r>
  </si>
  <si>
    <r>
      <t xml:space="preserve">BRACE LOAD = 2.5% OF VERT LIFT LOAD X </t>
    </r>
    <r>
      <rPr>
        <sz val="11"/>
        <color theme="1"/>
        <rFont val="Arial"/>
        <family val="2"/>
      </rPr>
      <t>√</t>
    </r>
    <r>
      <rPr>
        <sz val="9.35"/>
        <color theme="1"/>
        <rFont val="Calibri"/>
        <family val="2"/>
      </rPr>
      <t>2 (BRACE AT 30</t>
    </r>
    <r>
      <rPr>
        <sz val="9.35"/>
        <color theme="1"/>
        <rFont val="GreekC"/>
      </rPr>
      <t>°</t>
    </r>
    <r>
      <rPr>
        <sz val="7.95"/>
        <color theme="1"/>
        <rFont val="Calibri"/>
        <family val="2"/>
      </rPr>
      <t xml:space="preserve"> TO VERTICAL)</t>
    </r>
  </si>
  <si>
    <r>
      <t>VERTICAL BRACE LOAD 60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2.5% 1.3 FACTOR N</t>
    </r>
    <r>
      <rPr>
        <b/>
        <vertAlign val="subscript"/>
        <sz val="11"/>
        <color rgb="FF000000"/>
        <rFont val="Calibri"/>
        <family val="2"/>
        <scheme val="minor"/>
      </rPr>
      <t>Ed</t>
    </r>
    <r>
      <rPr>
        <b/>
        <sz val="11"/>
        <color rgb="FF000000"/>
        <rFont val="Calibri"/>
        <family val="2"/>
        <scheme val="minor"/>
      </rPr>
      <t xml:space="preserve">  (kN)</t>
    </r>
  </si>
  <si>
    <r>
      <t xml:space="preserve">BRACE LOAD = 2.5% OF VERT LIFT LOAD X </t>
    </r>
    <r>
      <rPr>
        <sz val="11"/>
        <color theme="1"/>
        <rFont val="Arial"/>
        <family val="2"/>
      </rPr>
      <t>√</t>
    </r>
    <r>
      <rPr>
        <sz val="9.35"/>
        <color theme="1"/>
        <rFont val="Calibri"/>
        <family val="2"/>
      </rPr>
      <t>2 (BRACE AT 60</t>
    </r>
    <r>
      <rPr>
        <sz val="9.35"/>
        <color theme="1"/>
        <rFont val="GreekC"/>
      </rPr>
      <t>°</t>
    </r>
    <r>
      <rPr>
        <sz val="7.95"/>
        <color theme="1"/>
        <rFont val="Calibri"/>
        <family val="2"/>
      </rPr>
      <t xml:space="preserve"> TO VERTICAL)</t>
    </r>
  </si>
  <si>
    <t>45° MAX STRUT SPAN Lcry (m)</t>
  </si>
  <si>
    <r>
      <t xml:space="preserve">STRAIGHT STRUT LENGTH = </t>
    </r>
    <r>
      <rPr>
        <sz val="11"/>
        <color theme="1"/>
        <rFont val="Arial"/>
        <family val="2"/>
      </rPr>
      <t>√</t>
    </r>
    <r>
      <rPr>
        <sz val="9.35"/>
        <color theme="1"/>
        <rFont val="Calibri"/>
        <family val="2"/>
      </rPr>
      <t>2 X MAX VERT GAP - 2 BRACE PLATE OFFSET</t>
    </r>
  </si>
  <si>
    <t>30° MAX STRUT SPAN Lcry (m)</t>
  </si>
  <si>
    <r>
      <t xml:space="preserve">STRAIGHT STRUT LENGTH = </t>
    </r>
    <r>
      <rPr>
        <sz val="11"/>
        <color theme="1"/>
        <rFont val="Arial"/>
        <family val="2"/>
      </rPr>
      <t>1.1547</t>
    </r>
    <r>
      <rPr>
        <sz val="9.35"/>
        <color theme="1"/>
        <rFont val="Calibri"/>
        <family val="2"/>
      </rPr>
      <t xml:space="preserve"> X MAX VERT GAP - 2 BRACE PLATE OFFSET</t>
    </r>
  </si>
  <si>
    <t>60° MAX STRUT SPAN Lcry (m)</t>
  </si>
  <si>
    <r>
      <t xml:space="preserve">STRAIGHT STRUT LENGTH = </t>
    </r>
    <r>
      <rPr>
        <sz val="9.35"/>
        <color theme="1"/>
        <rFont val="Calibri"/>
        <family val="2"/>
      </rPr>
      <t>2 X MAX VERT GAP - 2 BRACE PLATE OFFSET</t>
    </r>
  </si>
  <si>
    <r>
      <t xml:space="preserve"> 45 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>Ncr= π2EI/L2cry (kN)</t>
    </r>
  </si>
  <si>
    <r>
      <t xml:space="preserve">45 </t>
    </r>
    <r>
      <rPr>
        <b/>
        <sz val="11"/>
        <color indexed="8"/>
        <rFont val="GreekC"/>
      </rPr>
      <t>°</t>
    </r>
  </si>
  <si>
    <r>
      <t xml:space="preserve"> 45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Ø= 0.5x[1+α(λ--0.2)+λ-2 ]</t>
    </r>
  </si>
  <si>
    <r>
      <t>45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>χ=1/[Ø+√(Ø2-λ-2 )]</t>
    </r>
  </si>
  <si>
    <r>
      <t>45</t>
    </r>
    <r>
      <rPr>
        <b/>
        <sz val="11"/>
        <color indexed="8"/>
        <rFont val="GreekC"/>
      </rPr>
      <t xml:space="preserve">° </t>
    </r>
    <r>
      <rPr>
        <b/>
        <sz val="11"/>
        <color indexed="8"/>
        <rFont val="Calibri"/>
        <family val="2"/>
        <scheme val="minor"/>
      </rPr>
      <t>Nbrd = χxAfy/gm1 (kN)</t>
    </r>
  </si>
  <si>
    <r>
      <t xml:space="preserve"> 30 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>Ncr= π2EI/L2cry (kN)</t>
    </r>
  </si>
  <si>
    <r>
      <t xml:space="preserve">30 </t>
    </r>
    <r>
      <rPr>
        <b/>
        <sz val="11"/>
        <color indexed="8"/>
        <rFont val="GreekC"/>
      </rPr>
      <t>°</t>
    </r>
  </si>
  <si>
    <r>
      <t xml:space="preserve"> 30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Ø= 0.5x[1+α(λ--0.2)+λ-2 ]</t>
    </r>
  </si>
  <si>
    <r>
      <t>30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>χ=1/[Ø+√(Ø2-λ-2 )]</t>
    </r>
  </si>
  <si>
    <r>
      <t>30</t>
    </r>
    <r>
      <rPr>
        <b/>
        <sz val="11"/>
        <color indexed="8"/>
        <rFont val="GreekC"/>
      </rPr>
      <t xml:space="preserve">° </t>
    </r>
    <r>
      <rPr>
        <b/>
        <sz val="11"/>
        <color indexed="8"/>
        <rFont val="Calibri"/>
        <family val="2"/>
        <scheme val="minor"/>
      </rPr>
      <t>Nbrd = χxAfy/gm1 (kN)</t>
    </r>
  </si>
  <si>
    <r>
      <t xml:space="preserve"> 60 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>Ncr= π2EI/L2cry (kN)</t>
    </r>
  </si>
  <si>
    <r>
      <t xml:space="preserve">60 </t>
    </r>
    <r>
      <rPr>
        <b/>
        <sz val="11"/>
        <color indexed="8"/>
        <rFont val="GreekC"/>
      </rPr>
      <t>°</t>
    </r>
  </si>
  <si>
    <r>
      <t xml:space="preserve"> 60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Ø= 0.5x[1+α(λ--0.2)+λ-2 ]</t>
    </r>
  </si>
  <si>
    <r>
      <t>60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>χ=1/[Ø+√(Ø2-λ-2 )]</t>
    </r>
  </si>
  <si>
    <r>
      <t>60</t>
    </r>
    <r>
      <rPr>
        <b/>
        <sz val="11"/>
        <color indexed="8"/>
        <rFont val="GreekC"/>
      </rPr>
      <t xml:space="preserve">° </t>
    </r>
    <r>
      <rPr>
        <b/>
        <sz val="11"/>
        <color indexed="8"/>
        <rFont val="Calibri"/>
        <family val="2"/>
        <scheme val="minor"/>
      </rPr>
      <t>Nbrd = χxAfy/gm1 (kN)</t>
    </r>
  </si>
  <si>
    <r>
      <t>45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Check NEd/Nbrd</t>
    </r>
  </si>
  <si>
    <r>
      <t>30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Check NEd/Nbrd</t>
    </r>
  </si>
  <si>
    <r>
      <t>60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Check NEd/Nbrd</t>
    </r>
  </si>
  <si>
    <r>
      <t>45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MEd  (kNm)</t>
    </r>
  </si>
  <si>
    <r>
      <t>45</t>
    </r>
    <r>
      <rPr>
        <sz val="11"/>
        <color theme="1"/>
        <rFont val="GreekC"/>
      </rPr>
      <t xml:space="preserve">° </t>
    </r>
    <r>
      <rPr>
        <sz val="11"/>
        <color theme="1"/>
        <rFont val="Calibri"/>
        <family val="2"/>
        <scheme val="minor"/>
      </rPr>
      <t>MAX SW BM WL2/8 USE 1.3 DF</t>
    </r>
  </si>
  <si>
    <r>
      <t>30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MEd  (kNm)</t>
    </r>
  </si>
  <si>
    <t>30° MAX SW BM WL2/8 USE 1.3 DF</t>
  </si>
  <si>
    <r>
      <t>60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 xml:space="preserve"> MEd  (kNm)</t>
    </r>
  </si>
  <si>
    <t>60° MAX SW BM WL2/8 USE 1.3 DF</t>
  </si>
  <si>
    <r>
      <t xml:space="preserve"> 45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>Check MEd/MRd</t>
    </r>
  </si>
  <si>
    <r>
      <t>45</t>
    </r>
    <r>
      <rPr>
        <b/>
        <sz val="11"/>
        <color indexed="8"/>
        <rFont val="GreekC"/>
      </rPr>
      <t>°</t>
    </r>
    <r>
      <rPr>
        <b/>
        <sz val="9.35"/>
        <color indexed="8"/>
        <rFont val="Calibri"/>
        <family val="2"/>
      </rPr>
      <t xml:space="preserve"> </t>
    </r>
    <r>
      <rPr>
        <b/>
        <sz val="11"/>
        <color indexed="8"/>
        <rFont val="Calibri"/>
        <family val="2"/>
        <scheme val="minor"/>
      </rPr>
      <t>Ned/Nbrd+MEd/MRd</t>
    </r>
  </si>
  <si>
    <r>
      <t xml:space="preserve"> 30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>Check MEd/MRd</t>
    </r>
  </si>
  <si>
    <r>
      <t>30</t>
    </r>
    <r>
      <rPr>
        <b/>
        <sz val="11"/>
        <color indexed="8"/>
        <rFont val="GreekC"/>
      </rPr>
      <t>°</t>
    </r>
    <r>
      <rPr>
        <b/>
        <sz val="9.35"/>
        <color indexed="8"/>
        <rFont val="Calibri"/>
        <family val="2"/>
      </rPr>
      <t xml:space="preserve"> </t>
    </r>
    <r>
      <rPr>
        <b/>
        <sz val="11"/>
        <color indexed="8"/>
        <rFont val="Calibri"/>
        <family val="2"/>
        <scheme val="minor"/>
      </rPr>
      <t>Ned/Nbrd+MEd/MRd</t>
    </r>
  </si>
  <si>
    <r>
      <t xml:space="preserve"> 60</t>
    </r>
    <r>
      <rPr>
        <b/>
        <sz val="11"/>
        <color indexed="8"/>
        <rFont val="GreekC"/>
      </rPr>
      <t>°</t>
    </r>
    <r>
      <rPr>
        <b/>
        <sz val="11"/>
        <color indexed="8"/>
        <rFont val="Calibri"/>
        <family val="2"/>
        <scheme val="minor"/>
      </rPr>
      <t>Check MEd/MRd</t>
    </r>
  </si>
  <si>
    <r>
      <t>60</t>
    </r>
    <r>
      <rPr>
        <b/>
        <sz val="11"/>
        <color indexed="8"/>
        <rFont val="GreekC"/>
      </rPr>
      <t>°</t>
    </r>
    <r>
      <rPr>
        <b/>
        <sz val="9.35"/>
        <color indexed="8"/>
        <rFont val="Calibri"/>
        <family val="2"/>
      </rPr>
      <t xml:space="preserve"> </t>
    </r>
    <r>
      <rPr>
        <b/>
        <sz val="11"/>
        <color indexed="8"/>
        <rFont val="Calibri"/>
        <family val="2"/>
        <scheme val="minor"/>
      </rPr>
      <t>Ned/Nbrd+MEd/MRd</t>
    </r>
  </si>
  <si>
    <t>MAX Ned/Nbrd+MEd/MRd</t>
  </si>
  <si>
    <t>PLAN BRACE SIZE</t>
  </si>
  <si>
    <t>MAX GAP BETWEEN INNER LACERS  (mm)</t>
  </si>
  <si>
    <r>
      <t>45</t>
    </r>
    <r>
      <rPr>
        <b/>
        <sz val="11"/>
        <color indexed="8"/>
        <rFont val="GreekC"/>
      </rPr>
      <t>°</t>
    </r>
    <r>
      <rPr>
        <b/>
        <sz val="9.35"/>
        <color indexed="8"/>
        <rFont val="Calibri"/>
        <family val="2"/>
      </rPr>
      <t xml:space="preserve"> </t>
    </r>
    <r>
      <rPr>
        <b/>
        <sz val="11"/>
        <color indexed="8"/>
        <rFont val="Calibri"/>
        <family val="2"/>
        <scheme val="minor"/>
      </rPr>
      <t>PLAN BRACE LOAD 2.5% 1.3 FACTOR N</t>
    </r>
    <r>
      <rPr>
        <b/>
        <vertAlign val="subscript"/>
        <sz val="11"/>
        <color rgb="FF000000"/>
        <rFont val="Calibri"/>
        <family val="2"/>
        <scheme val="minor"/>
      </rPr>
      <t xml:space="preserve">ed </t>
    </r>
    <r>
      <rPr>
        <b/>
        <sz val="11"/>
        <color rgb="FF000000"/>
        <rFont val="Calibri"/>
        <family val="2"/>
        <scheme val="minor"/>
      </rPr>
      <t>SAY ? SPANS</t>
    </r>
    <r>
      <rPr>
        <b/>
        <sz val="11"/>
        <color indexed="8"/>
        <rFont val="Calibri"/>
        <family val="2"/>
        <scheme val="minor"/>
      </rPr>
      <t xml:space="preserve">  (kN)</t>
    </r>
  </si>
  <si>
    <r>
      <t>PLAN BRACE LOAD 2.5% 1.3 FACTOR N</t>
    </r>
    <r>
      <rPr>
        <b/>
        <vertAlign val="subscript"/>
        <sz val="11"/>
        <color rgb="FF000000"/>
        <rFont val="Calibri"/>
        <family val="2"/>
        <scheme val="minor"/>
      </rPr>
      <t xml:space="preserve">ed </t>
    </r>
    <r>
      <rPr>
        <b/>
        <sz val="11"/>
        <color rgb="FF000000"/>
        <rFont val="Calibri"/>
        <family val="2"/>
        <scheme val="minor"/>
      </rPr>
      <t>SAY ? SPANS</t>
    </r>
    <r>
      <rPr>
        <b/>
        <sz val="11"/>
        <color indexed="8"/>
        <rFont val="Calibri"/>
        <family val="2"/>
        <scheme val="minor"/>
      </rPr>
      <t xml:space="preserve">  (kN)</t>
    </r>
  </si>
  <si>
    <r>
      <t>30</t>
    </r>
    <r>
      <rPr>
        <b/>
        <sz val="11"/>
        <color indexed="8"/>
        <rFont val="GreekC"/>
      </rPr>
      <t>°</t>
    </r>
    <r>
      <rPr>
        <b/>
        <sz val="9.35"/>
        <color indexed="8"/>
        <rFont val="Calibri"/>
        <family val="2"/>
      </rPr>
      <t xml:space="preserve"> </t>
    </r>
    <r>
      <rPr>
        <b/>
        <sz val="11"/>
        <color indexed="8"/>
        <rFont val="Calibri"/>
        <family val="2"/>
        <scheme val="minor"/>
      </rPr>
      <t>PLAN BRACE LOAD 2.5% 1.3 FACTOR N</t>
    </r>
    <r>
      <rPr>
        <b/>
        <vertAlign val="subscript"/>
        <sz val="11"/>
        <color rgb="FF000000"/>
        <rFont val="Calibri"/>
        <family val="2"/>
        <scheme val="minor"/>
      </rPr>
      <t xml:space="preserve">ed </t>
    </r>
    <r>
      <rPr>
        <b/>
        <sz val="11"/>
        <color rgb="FF000000"/>
        <rFont val="Calibri"/>
        <family val="2"/>
        <scheme val="minor"/>
      </rPr>
      <t>SAY ? SPANS</t>
    </r>
    <r>
      <rPr>
        <b/>
        <sz val="11"/>
        <color indexed="8"/>
        <rFont val="Calibri"/>
        <family val="2"/>
        <scheme val="minor"/>
      </rPr>
      <t xml:space="preserve">  (kN)</t>
    </r>
  </si>
  <si>
    <r>
      <t>60</t>
    </r>
    <r>
      <rPr>
        <b/>
        <sz val="11"/>
        <color indexed="8"/>
        <rFont val="GreekC"/>
      </rPr>
      <t>°</t>
    </r>
    <r>
      <rPr>
        <b/>
        <sz val="9.35"/>
        <color indexed="8"/>
        <rFont val="Calibri"/>
        <family val="2"/>
      </rPr>
      <t xml:space="preserve"> </t>
    </r>
    <r>
      <rPr>
        <b/>
        <sz val="11"/>
        <color indexed="8"/>
        <rFont val="Calibri"/>
        <family val="2"/>
        <scheme val="minor"/>
      </rPr>
      <t>PLAN BRACE LOAD 2.5% 1.3 FACTOR N</t>
    </r>
    <r>
      <rPr>
        <b/>
        <vertAlign val="subscript"/>
        <sz val="11"/>
        <color rgb="FF000000"/>
        <rFont val="Calibri"/>
        <family val="2"/>
        <scheme val="minor"/>
      </rPr>
      <t xml:space="preserve">ed </t>
    </r>
    <r>
      <rPr>
        <b/>
        <sz val="11"/>
        <color rgb="FF000000"/>
        <rFont val="Calibri"/>
        <family val="2"/>
        <scheme val="minor"/>
      </rPr>
      <t>SAY ? SPANS</t>
    </r>
    <r>
      <rPr>
        <b/>
        <sz val="11"/>
        <color indexed="8"/>
        <rFont val="Calibri"/>
        <family val="2"/>
        <scheme val="minor"/>
      </rPr>
      <t xml:space="preserve">  (kN)</t>
    </r>
  </si>
  <si>
    <r>
      <t xml:space="preserve">STRAIGHT STRUT LENGTH = </t>
    </r>
    <r>
      <rPr>
        <sz val="11"/>
        <color theme="1"/>
        <rFont val="Arial"/>
        <family val="2"/>
      </rPr>
      <t>√</t>
    </r>
    <r>
      <rPr>
        <sz val="9.35"/>
        <color theme="1"/>
        <rFont val="Calibri"/>
        <family val="2"/>
      </rPr>
      <t>2 X MAX LACER GAP - 2 BRACE PLATE OFFSET</t>
    </r>
  </si>
  <si>
    <r>
      <t xml:space="preserve">STRAIGHT STRUT LENGTH = </t>
    </r>
    <r>
      <rPr>
        <sz val="11"/>
        <color theme="1"/>
        <rFont val="Arial"/>
        <family val="2"/>
      </rPr>
      <t>1.1547</t>
    </r>
    <r>
      <rPr>
        <sz val="9.35"/>
        <color theme="1"/>
        <rFont val="Calibri"/>
        <family val="2"/>
      </rPr>
      <t xml:space="preserve"> X MAX LACER GAP - 2 BRACE PLATE OFFSET</t>
    </r>
  </si>
  <si>
    <r>
      <t xml:space="preserve">STRAIGHT STRUT LENGTH = </t>
    </r>
    <r>
      <rPr>
        <sz val="9.35"/>
        <color theme="1"/>
        <rFont val="Calibri"/>
        <family val="2"/>
      </rPr>
      <t>2 X MAX LACER GAP - 2 BRACE PLATE OFFSET</t>
    </r>
  </si>
  <si>
    <t xml:space="preserve"> 45 °Ncr= π2EI/L2cry (kN)</t>
  </si>
  <si>
    <t xml:space="preserve">45 ° λ- =√(Axfy/Ncr) </t>
  </si>
  <si>
    <t>45 ° Ø= 0.5x[1+α(λ--0.2)+λ-2 ]</t>
  </si>
  <si>
    <t>45 °χ=1/[Ø+√(Ø2-λ-2 )]</t>
  </si>
  <si>
    <t>45 ° Nbrd = χxAfy/gm1 (kN)</t>
  </si>
  <si>
    <t>45° MAX SW BM WL2/8 USE 1.3 DF</t>
  </si>
  <si>
    <t>Single</t>
  </si>
  <si>
    <t>Yes</t>
  </si>
  <si>
    <t>Double</t>
  </si>
  <si>
    <t>No</t>
  </si>
  <si>
    <t>Triple</t>
  </si>
  <si>
    <t>SPL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</si>
</sst>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&quot;m&quot;"/>
    <numFmt numFmtId="166" formatCode="0.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vertAlign val="superscript"/>
      <sz val="11"/>
      <color rgb="FF000000"/>
      <name val="Calibri"/>
      <family val="2"/>
      <scheme val="minor"/>
    </font>
    <font>
      <b/>
      <u/>
      <sz val="11"/>
      <color indexed="8"/>
      <name val="Calibri"/>
      <family val="2"/>
      <scheme val="minor"/>
    </font>
    <font>
      <sz val="11"/>
      <color theme="1"/>
      <name val="Arial"/>
      <family val="2"/>
    </font>
    <font>
      <b/>
      <vertAlign val="subscript"/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8.5"/>
      <color theme="1"/>
      <name val="Calibri"/>
      <family val="2"/>
    </font>
    <font>
      <sz val="10"/>
      <name val="Calibri"/>
      <family val="2"/>
      <scheme val="minor"/>
    </font>
    <font>
      <sz val="8"/>
      <color theme="1"/>
      <name val="Arial Narrow"/>
      <family val="2"/>
    </font>
    <font>
      <b/>
      <sz val="8"/>
      <color theme="1"/>
      <name val="Arial Narrow"/>
      <family val="2"/>
    </font>
    <font>
      <sz val="12"/>
      <color theme="1"/>
      <name val="Arial Narrow"/>
      <family val="2"/>
    </font>
    <font>
      <sz val="8"/>
      <color theme="1"/>
      <name val="Calibri"/>
      <family val="2"/>
    </font>
    <font>
      <sz val="10"/>
      <color theme="1"/>
      <name val="GreekC"/>
    </font>
    <font>
      <vertAlign val="superscript"/>
      <sz val="11"/>
      <color theme="1"/>
      <name val="Calibri"/>
      <family val="2"/>
      <scheme val="minor"/>
    </font>
    <font>
      <sz val="9.35"/>
      <color theme="1"/>
      <name val="Calibri"/>
      <family val="2"/>
    </font>
    <font>
      <sz val="9.35"/>
      <color theme="1"/>
      <name val="GreekC"/>
    </font>
    <font>
      <sz val="7.95"/>
      <color theme="1"/>
      <name val="Calibri"/>
      <family val="2"/>
    </font>
    <font>
      <b/>
      <sz val="8"/>
      <color theme="1"/>
      <name val="Calibri"/>
      <family val="2"/>
    </font>
    <font>
      <sz val="11"/>
      <color theme="1"/>
      <name val="GreekC"/>
    </font>
    <font>
      <b/>
      <sz val="11"/>
      <color indexed="8"/>
      <name val="GreekC"/>
    </font>
    <font>
      <b/>
      <sz val="9.35"/>
      <color indexed="8"/>
      <name val="Calibri"/>
      <family val="2"/>
    </font>
    <font>
      <sz val="8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337778862885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26">
    <xf numFmtId="0" fontId="0" fillId="0" borderId="0" xfId="0"/>
    <xf numFmtId="0" fontId="0" fillId="0" borderId="2" xfId="0" applyBorder="1"/>
    <xf numFmtId="165" fontId="10" fillId="6" borderId="25" xfId="0" applyNumberFormat="1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2" xfId="0" applyFill="1" applyBorder="1"/>
    <xf numFmtId="0" fontId="0" fillId="7" borderId="25" xfId="0" applyFill="1" applyBorder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/>
    <xf numFmtId="0" fontId="16" fillId="0" borderId="26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6" fillId="9" borderId="25" xfId="0" applyFont="1" applyFill="1" applyBorder="1" applyAlignment="1">
      <alignment horizontal="center" vertical="center" wrapText="1"/>
    </xf>
    <xf numFmtId="2" fontId="15" fillId="3" borderId="18" xfId="0" applyNumberFormat="1" applyFont="1" applyFill="1" applyBorder="1" applyAlignment="1">
      <alignment horizontal="left" indent="1"/>
    </xf>
    <xf numFmtId="2" fontId="15" fillId="3" borderId="33" xfId="0" applyNumberFormat="1" applyFont="1" applyFill="1" applyBorder="1" applyAlignment="1">
      <alignment horizontal="left" indent="1"/>
    </xf>
    <xf numFmtId="2" fontId="15" fillId="3" borderId="11" xfId="0" applyNumberFormat="1" applyFont="1" applyFill="1" applyBorder="1" applyAlignment="1">
      <alignment horizontal="left" indent="1"/>
    </xf>
    <xf numFmtId="2" fontId="15" fillId="3" borderId="1" xfId="0" applyNumberFormat="1" applyFont="1" applyFill="1" applyBorder="1" applyAlignment="1">
      <alignment horizontal="left" indent="1"/>
    </xf>
    <xf numFmtId="2" fontId="15" fillId="3" borderId="12" xfId="0" applyNumberFormat="1" applyFont="1" applyFill="1" applyBorder="1" applyAlignment="1">
      <alignment horizontal="left" indent="1"/>
    </xf>
    <xf numFmtId="2" fontId="15" fillId="3" borderId="15" xfId="0" applyNumberFormat="1" applyFont="1" applyFill="1" applyBorder="1" applyAlignment="1">
      <alignment horizontal="left" indent="1"/>
    </xf>
    <xf numFmtId="2" fontId="15" fillId="3" borderId="10" xfId="0" applyNumberFormat="1" applyFont="1" applyFill="1" applyBorder="1" applyAlignment="1">
      <alignment horizontal="left" indent="1"/>
    </xf>
    <xf numFmtId="2" fontId="15" fillId="3" borderId="13" xfId="0" applyNumberFormat="1" applyFont="1" applyFill="1" applyBorder="1" applyAlignment="1">
      <alignment horizontal="left" indent="1"/>
    </xf>
    <xf numFmtId="2" fontId="15" fillId="3" borderId="14" xfId="0" applyNumberFormat="1" applyFont="1" applyFill="1" applyBorder="1" applyAlignment="1">
      <alignment horizontal="left" indent="1"/>
    </xf>
    <xf numFmtId="2" fontId="15" fillId="3" borderId="17" xfId="0" applyNumberFormat="1" applyFont="1" applyFill="1" applyBorder="1" applyAlignment="1">
      <alignment horizontal="left" indent="1"/>
    </xf>
    <xf numFmtId="2" fontId="15" fillId="3" borderId="32" xfId="0" applyNumberFormat="1" applyFont="1" applyFill="1" applyBorder="1" applyAlignment="1">
      <alignment horizontal="left" indent="1"/>
    </xf>
    <xf numFmtId="2" fontId="15" fillId="3" borderId="21" xfId="0" applyNumberFormat="1" applyFont="1" applyFill="1" applyBorder="1" applyAlignment="1">
      <alignment horizontal="left" indent="1"/>
    </xf>
    <xf numFmtId="0" fontId="0" fillId="0" borderId="0" xfId="0" applyAlignment="1">
      <alignment horizontal="center" wrapText="1"/>
    </xf>
    <xf numFmtId="0" fontId="15" fillId="0" borderId="9" xfId="0" applyFont="1" applyBorder="1"/>
    <xf numFmtId="0" fontId="16" fillId="9" borderId="23" xfId="0" applyFont="1" applyFill="1" applyBorder="1" applyAlignment="1">
      <alignment horizontal="center" vertical="center"/>
    </xf>
    <xf numFmtId="0" fontId="16" fillId="9" borderId="10" xfId="0" applyFont="1" applyFill="1" applyBorder="1" applyAlignment="1">
      <alignment horizontal="center" vertical="center" wrapText="1"/>
    </xf>
    <xf numFmtId="0" fontId="0" fillId="8" borderId="25" xfId="0" applyFill="1" applyBorder="1"/>
    <xf numFmtId="0" fontId="0" fillId="8" borderId="28" xfId="0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8" borderId="25" xfId="0" applyFill="1" applyBorder="1" applyAlignment="1">
      <alignment horizontal="center"/>
    </xf>
    <xf numFmtId="0" fontId="0" fillId="3" borderId="25" xfId="0" applyFill="1" applyBorder="1"/>
    <xf numFmtId="0" fontId="15" fillId="3" borderId="33" xfId="0" applyFont="1" applyFill="1" applyBorder="1" applyAlignment="1">
      <alignment horizontal="center"/>
    </xf>
    <xf numFmtId="1" fontId="15" fillId="3" borderId="1" xfId="0" applyNumberFormat="1" applyFont="1" applyFill="1" applyBorder="1" applyAlignment="1">
      <alignment horizontal="left" indent="1"/>
    </xf>
    <xf numFmtId="0" fontId="15" fillId="3" borderId="10" xfId="0" applyFont="1" applyFill="1" applyBorder="1" applyAlignment="1">
      <alignment horizontal="left" indent="1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left" indent="1"/>
    </xf>
    <xf numFmtId="0" fontId="15" fillId="0" borderId="0" xfId="0" applyFont="1" applyAlignment="1">
      <alignment horizontal="left" indent="1"/>
    </xf>
    <xf numFmtId="0" fontId="0" fillId="0" borderId="0" xfId="0" applyAlignment="1">
      <alignment horizontal="center" vertical="center" wrapText="1"/>
    </xf>
    <xf numFmtId="0" fontId="15" fillId="0" borderId="8" xfId="0" applyFont="1" applyBorder="1"/>
    <xf numFmtId="0" fontId="16" fillId="0" borderId="25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/>
    </xf>
    <xf numFmtId="0" fontId="15" fillId="3" borderId="35" xfId="0" applyFont="1" applyFill="1" applyBorder="1" applyAlignment="1">
      <alignment horizontal="center" vertical="center"/>
    </xf>
    <xf numFmtId="2" fontId="15" fillId="3" borderId="35" xfId="0" applyNumberFormat="1" applyFont="1" applyFill="1" applyBorder="1" applyAlignment="1">
      <alignment horizontal="left" vertical="center" indent="1"/>
    </xf>
    <xf numFmtId="0" fontId="15" fillId="3" borderId="31" xfId="0" applyFont="1" applyFill="1" applyBorder="1" applyAlignment="1">
      <alignment horizontal="center" vertical="center"/>
    </xf>
    <xf numFmtId="2" fontId="15" fillId="3" borderId="31" xfId="0" applyNumberFormat="1" applyFont="1" applyFill="1" applyBorder="1" applyAlignment="1">
      <alignment horizontal="left" vertical="center" indent="1"/>
    </xf>
    <xf numFmtId="0" fontId="15" fillId="3" borderId="29" xfId="0" applyFont="1" applyFill="1" applyBorder="1" applyAlignment="1">
      <alignment horizontal="center" vertical="center"/>
    </xf>
    <xf numFmtId="2" fontId="15" fillId="3" borderId="29" xfId="0" applyNumberFormat="1" applyFont="1" applyFill="1" applyBorder="1" applyAlignment="1">
      <alignment horizontal="left" vertical="center" indent="1"/>
    </xf>
    <xf numFmtId="0" fontId="15" fillId="0" borderId="0" xfId="0" applyFont="1" applyAlignment="1">
      <alignment horizontal="center" vertical="center" wrapText="1"/>
    </xf>
    <xf numFmtId="2" fontId="15" fillId="0" borderId="0" xfId="0" applyNumberFormat="1" applyFont="1" applyAlignment="1">
      <alignment horizontal="left" vertical="center"/>
    </xf>
    <xf numFmtId="2" fontId="15" fillId="3" borderId="35" xfId="0" applyNumberFormat="1" applyFont="1" applyFill="1" applyBorder="1" applyAlignment="1">
      <alignment horizontal="left" vertical="center"/>
    </xf>
    <xf numFmtId="2" fontId="15" fillId="3" borderId="31" xfId="0" applyNumberFormat="1" applyFont="1" applyFill="1" applyBorder="1" applyAlignment="1">
      <alignment horizontal="left" vertical="center"/>
    </xf>
    <xf numFmtId="0" fontId="15" fillId="3" borderId="29" xfId="0" applyFont="1" applyFill="1" applyBorder="1" applyAlignment="1">
      <alignment horizontal="center" vertical="center" wrapText="1"/>
    </xf>
    <xf numFmtId="2" fontId="15" fillId="3" borderId="29" xfId="0" applyNumberFormat="1" applyFont="1" applyFill="1" applyBorder="1" applyAlignment="1">
      <alignment horizontal="left" vertical="center"/>
    </xf>
    <xf numFmtId="0" fontId="15" fillId="3" borderId="31" xfId="0" applyFont="1" applyFill="1" applyBorder="1" applyAlignment="1">
      <alignment horizontal="center" vertical="center" wrapText="1"/>
    </xf>
    <xf numFmtId="0" fontId="0" fillId="7" borderId="25" xfId="0" applyFill="1" applyBorder="1" applyAlignment="1">
      <alignment horizontal="center" vertical="center" wrapText="1"/>
    </xf>
    <xf numFmtId="0" fontId="0" fillId="8" borderId="26" xfId="0" applyFill="1" applyBorder="1"/>
    <xf numFmtId="0" fontId="0" fillId="8" borderId="27" xfId="0" applyFill="1" applyBorder="1"/>
    <xf numFmtId="0" fontId="0" fillId="8" borderId="28" xfId="0" applyFill="1" applyBorder="1"/>
    <xf numFmtId="0" fontId="0" fillId="0" borderId="0" xfId="0" applyAlignment="1">
      <alignment horizontal="center" vertical="center"/>
    </xf>
    <xf numFmtId="0" fontId="0" fillId="2" borderId="0" xfId="0" applyFill="1"/>
    <xf numFmtId="0" fontId="9" fillId="0" borderId="0" xfId="0" applyFont="1"/>
    <xf numFmtId="0" fontId="9" fillId="0" borderId="0" xfId="0" applyFont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8" borderId="34" xfId="0" applyFill="1" applyBorder="1" applyAlignment="1">
      <alignment horizontal="center" wrapText="1"/>
    </xf>
    <xf numFmtId="0" fontId="0" fillId="8" borderId="24" xfId="0" applyFill="1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0" fillId="0" borderId="1" xfId="0" applyBorder="1"/>
    <xf numFmtId="0" fontId="2" fillId="3" borderId="0" xfId="1" applyFont="1" applyFill="1" applyAlignment="1">
      <alignment horizontal="center" wrapText="1"/>
    </xf>
    <xf numFmtId="0" fontId="11" fillId="3" borderId="0" xfId="0" applyFont="1" applyFill="1"/>
    <xf numFmtId="0" fontId="0" fillId="3" borderId="0" xfId="0" applyFill="1" applyAlignment="1">
      <alignment horizontal="center" vertical="center"/>
    </xf>
    <xf numFmtId="0" fontId="0" fillId="8" borderId="6" xfId="0" applyFill="1" applyBorder="1"/>
    <xf numFmtId="0" fontId="0" fillId="7" borderId="33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8" borderId="7" xfId="0" applyFill="1" applyBorder="1"/>
    <xf numFmtId="0" fontId="0" fillId="7" borderId="26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8" borderId="5" xfId="0" applyFill="1" applyBorder="1"/>
    <xf numFmtId="0" fontId="4" fillId="2" borderId="0" xfId="1" applyFont="1" applyFill="1" applyAlignment="1">
      <alignment wrapText="1"/>
    </xf>
    <xf numFmtId="2" fontId="0" fillId="2" borderId="0" xfId="0" applyNumberFormat="1" applyFill="1" applyAlignment="1">
      <alignment horizontal="center" vertical="center"/>
    </xf>
    <xf numFmtId="0" fontId="11" fillId="2" borderId="0" xfId="0" applyFont="1" applyFill="1"/>
    <xf numFmtId="0" fontId="4" fillId="3" borderId="0" xfId="1" applyFont="1" applyFill="1" applyAlignment="1">
      <alignment wrapText="1"/>
    </xf>
    <xf numFmtId="2" fontId="0" fillId="3" borderId="0" xfId="0" applyNumberFormat="1" applyFill="1" applyAlignment="1">
      <alignment horizontal="center" vertical="center"/>
    </xf>
    <xf numFmtId="0" fontId="4" fillId="4" borderId="0" xfId="1" applyFont="1" applyFill="1" applyAlignment="1">
      <alignment wrapText="1"/>
    </xf>
    <xf numFmtId="0" fontId="11" fillId="4" borderId="0" xfId="0" applyFont="1" applyFill="1"/>
    <xf numFmtId="166" fontId="0" fillId="4" borderId="0" xfId="0" applyNumberFormat="1" applyFill="1" applyAlignment="1">
      <alignment horizontal="center" vertical="center"/>
    </xf>
    <xf numFmtId="0" fontId="0" fillId="7" borderId="28" xfId="0" applyFill="1" applyBorder="1" applyAlignment="1">
      <alignment horizontal="center"/>
    </xf>
    <xf numFmtId="0" fontId="0" fillId="8" borderId="25" xfId="0" applyFill="1" applyBorder="1" applyAlignment="1">
      <alignment horizontal="center" vertical="center" wrapText="1"/>
    </xf>
    <xf numFmtId="0" fontId="0" fillId="2" borderId="25" xfId="0" applyFill="1" applyBorder="1" applyAlignment="1">
      <alignment horizontal="center" vertical="center"/>
    </xf>
    <xf numFmtId="0" fontId="11" fillId="3" borderId="0" xfId="0" applyFont="1" applyFill="1" applyAlignment="1">
      <alignment horizontal="center" wrapText="1"/>
    </xf>
    <xf numFmtId="0" fontId="4" fillId="3" borderId="0" xfId="1" applyFont="1" applyFill="1" applyAlignment="1">
      <alignment horizontal="center" vertical="center" wrapText="1"/>
    </xf>
    <xf numFmtId="0" fontId="4" fillId="4" borderId="0" xfId="1" applyFont="1" applyFill="1" applyAlignment="1">
      <alignment horizontal="center" vertical="center" wrapText="1"/>
    </xf>
    <xf numFmtId="0" fontId="11" fillId="4" borderId="0" xfId="0" applyFon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0" fontId="4" fillId="3" borderId="0" xfId="1" applyFont="1" applyFill="1" applyAlignment="1">
      <alignment horizontal="center" wrapText="1"/>
    </xf>
    <xf numFmtId="0" fontId="4" fillId="4" borderId="0" xfId="1" applyFont="1" applyFill="1" applyAlignment="1">
      <alignment horizontal="center" wrapText="1"/>
    </xf>
    <xf numFmtId="164" fontId="0" fillId="4" borderId="0" xfId="0" applyNumberFormat="1" applyFill="1" applyAlignment="1">
      <alignment horizontal="center" vertical="center"/>
    </xf>
    <xf numFmtId="0" fontId="14" fillId="4" borderId="0" xfId="0" applyFont="1" applyFill="1" applyAlignment="1">
      <alignment wrapText="1"/>
    </xf>
    <xf numFmtId="0" fontId="4" fillId="5" borderId="22" xfId="1" applyFont="1" applyFill="1" applyBorder="1" applyAlignment="1">
      <alignment horizontal="center" wrapText="1"/>
    </xf>
    <xf numFmtId="0" fontId="11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11" fillId="3" borderId="0" xfId="0" applyFont="1" applyFill="1" applyAlignment="1">
      <alignment wrapText="1"/>
    </xf>
    <xf numFmtId="0" fontId="4" fillId="0" borderId="0" xfId="1" applyFont="1" applyAlignment="1">
      <alignment horizontal="center" wrapText="1"/>
    </xf>
    <xf numFmtId="0" fontId="11" fillId="0" borderId="0" xfId="0" applyFont="1" applyAlignment="1">
      <alignment wrapText="1"/>
    </xf>
    <xf numFmtId="0" fontId="11" fillId="0" borderId="0" xfId="0" applyFont="1"/>
    <xf numFmtId="164" fontId="0" fillId="3" borderId="0" xfId="0" applyNumberFormat="1" applyFill="1" applyAlignment="1">
      <alignment horizontal="center" vertical="center"/>
    </xf>
    <xf numFmtId="0" fontId="2" fillId="0" borderId="0" xfId="1" applyFont="1" applyAlignment="1">
      <alignment horizontal="center" wrapText="1"/>
    </xf>
    <xf numFmtId="0" fontId="1" fillId="0" borderId="0" xfId="1"/>
    <xf numFmtId="164" fontId="0" fillId="0" borderId="1" xfId="0" applyNumberFormat="1" applyBorder="1"/>
    <xf numFmtId="2" fontId="0" fillId="0" borderId="1" xfId="0" applyNumberFormat="1" applyBorder="1"/>
    <xf numFmtId="166" fontId="0" fillId="0" borderId="1" xfId="0" applyNumberFormat="1" applyBorder="1"/>
    <xf numFmtId="164" fontId="0" fillId="3" borderId="1" xfId="0" applyNumberFormat="1" applyFill="1" applyBorder="1"/>
    <xf numFmtId="0" fontId="0" fillId="3" borderId="1" xfId="0" applyFill="1" applyBorder="1"/>
    <xf numFmtId="0" fontId="0" fillId="2" borderId="0" xfId="0" applyFill="1" applyAlignment="1">
      <alignment horizontal="center" wrapText="1"/>
    </xf>
    <xf numFmtId="0" fontId="0" fillId="0" borderId="1" xfId="0" applyBorder="1" applyAlignment="1">
      <alignment horizontal="center" wrapText="1"/>
    </xf>
    <xf numFmtId="0" fontId="15" fillId="3" borderId="29" xfId="0" applyFont="1" applyFill="1" applyBorder="1" applyAlignment="1">
      <alignment horizontal="center"/>
    </xf>
    <xf numFmtId="0" fontId="15" fillId="3" borderId="30" xfId="0" applyFont="1" applyFill="1" applyBorder="1" applyAlignment="1">
      <alignment horizontal="center"/>
    </xf>
    <xf numFmtId="166" fontId="15" fillId="3" borderId="30" xfId="0" applyNumberFormat="1" applyFont="1" applyFill="1" applyBorder="1" applyAlignment="1">
      <alignment horizontal="center"/>
    </xf>
    <xf numFmtId="0" fontId="15" fillId="3" borderId="3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6" fontId="0" fillId="3" borderId="0" xfId="0" applyNumberForma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2" fillId="4" borderId="0" xfId="1" applyFont="1" applyFill="1" applyAlignment="1">
      <alignment horizontal="center" wrapText="1"/>
    </xf>
    <xf numFmtId="0" fontId="11" fillId="4" borderId="0" xfId="0" applyFont="1" applyFill="1" applyAlignment="1">
      <alignment wrapText="1"/>
    </xf>
    <xf numFmtId="0" fontId="0" fillId="3" borderId="0" xfId="0" applyFill="1"/>
    <xf numFmtId="0" fontId="0" fillId="3" borderId="0" xfId="0" applyFill="1" applyAlignment="1">
      <alignment horizontal="center" wrapText="1"/>
    </xf>
    <xf numFmtId="0" fontId="2" fillId="3" borderId="0" xfId="1" applyFont="1" applyFill="1" applyAlignment="1">
      <alignment horizontal="center" vertical="center" wrapText="1"/>
    </xf>
    <xf numFmtId="2" fontId="15" fillId="4" borderId="18" xfId="0" applyNumberFormat="1" applyFont="1" applyFill="1" applyBorder="1" applyAlignment="1">
      <alignment horizontal="left" indent="1"/>
    </xf>
    <xf numFmtId="2" fontId="15" fillId="4" borderId="33" xfId="0" applyNumberFormat="1" applyFont="1" applyFill="1" applyBorder="1" applyAlignment="1">
      <alignment horizontal="left" indent="1"/>
    </xf>
    <xf numFmtId="2" fontId="15" fillId="4" borderId="14" xfId="0" applyNumberFormat="1" applyFont="1" applyFill="1" applyBorder="1" applyAlignment="1">
      <alignment horizontal="left" indent="1"/>
    </xf>
    <xf numFmtId="2" fontId="15" fillId="4" borderId="17" xfId="0" applyNumberFormat="1" applyFont="1" applyFill="1" applyBorder="1" applyAlignment="1">
      <alignment horizontal="left" indent="1"/>
    </xf>
    <xf numFmtId="2" fontId="15" fillId="4" borderId="18" xfId="0" applyNumberFormat="1" applyFont="1" applyFill="1" applyBorder="1" applyAlignment="1">
      <alignment horizontal="center" vertical="center"/>
    </xf>
    <xf numFmtId="2" fontId="15" fillId="4" borderId="33" xfId="0" applyNumberFormat="1" applyFont="1" applyFill="1" applyBorder="1" applyAlignment="1">
      <alignment horizontal="center" vertical="center"/>
    </xf>
    <xf numFmtId="0" fontId="15" fillId="3" borderId="30" xfId="0" applyFont="1" applyFill="1" applyBorder="1" applyAlignment="1">
      <alignment horizontal="center" vertical="center"/>
    </xf>
    <xf numFmtId="49" fontId="15" fillId="3" borderId="30" xfId="0" applyNumberFormat="1" applyFont="1" applyFill="1" applyBorder="1" applyAlignment="1">
      <alignment horizontal="center" vertical="center"/>
    </xf>
    <xf numFmtId="2" fontId="15" fillId="4" borderId="15" xfId="0" applyNumberFormat="1" applyFont="1" applyFill="1" applyBorder="1" applyAlignment="1">
      <alignment horizontal="center" vertical="center"/>
    </xf>
    <xf numFmtId="2" fontId="15" fillId="4" borderId="14" xfId="0" applyNumberFormat="1" applyFont="1" applyFill="1" applyBorder="1" applyAlignment="1">
      <alignment horizontal="center" vertical="center"/>
    </xf>
    <xf numFmtId="2" fontId="15" fillId="4" borderId="17" xfId="0" applyNumberFormat="1" applyFont="1" applyFill="1" applyBorder="1" applyAlignment="1">
      <alignment horizontal="center" vertical="center"/>
    </xf>
    <xf numFmtId="2" fontId="15" fillId="4" borderId="21" xfId="0" applyNumberFormat="1" applyFont="1" applyFill="1" applyBorder="1" applyAlignment="1">
      <alignment horizontal="center" vertical="center"/>
    </xf>
    <xf numFmtId="2" fontId="15" fillId="3" borderId="1" xfId="0" applyNumberFormat="1" applyFont="1" applyFill="1" applyBorder="1" applyAlignment="1">
      <alignment horizontal="center" vertical="center"/>
    </xf>
    <xf numFmtId="2" fontId="15" fillId="3" borderId="10" xfId="0" applyNumberFormat="1" applyFont="1" applyFill="1" applyBorder="1" applyAlignment="1">
      <alignment horizontal="center" vertical="center"/>
    </xf>
    <xf numFmtId="2" fontId="15" fillId="3" borderId="12" xfId="0" applyNumberFormat="1" applyFont="1" applyFill="1" applyBorder="1" applyAlignment="1">
      <alignment horizontal="center" vertical="center"/>
    </xf>
    <xf numFmtId="2" fontId="15" fillId="3" borderId="13" xfId="0" applyNumberFormat="1" applyFont="1" applyFill="1" applyBorder="1" applyAlignment="1">
      <alignment horizontal="center" vertical="center"/>
    </xf>
    <xf numFmtId="2" fontId="15" fillId="3" borderId="33" xfId="0" applyNumberFormat="1" applyFont="1" applyFill="1" applyBorder="1" applyAlignment="1">
      <alignment horizontal="center" vertical="center"/>
    </xf>
    <xf numFmtId="2" fontId="15" fillId="3" borderId="11" xfId="0" applyNumberFormat="1" applyFont="1" applyFill="1" applyBorder="1" applyAlignment="1">
      <alignment horizontal="center" vertical="center"/>
    </xf>
    <xf numFmtId="2" fontId="15" fillId="3" borderId="17" xfId="0" applyNumberFormat="1" applyFont="1" applyFill="1" applyBorder="1" applyAlignment="1">
      <alignment horizontal="center" vertical="center"/>
    </xf>
    <xf numFmtId="2" fontId="15" fillId="3" borderId="32" xfId="0" applyNumberFormat="1" applyFont="1" applyFill="1" applyBorder="1" applyAlignment="1">
      <alignment horizontal="center" vertical="center"/>
    </xf>
    <xf numFmtId="2" fontId="15" fillId="3" borderId="18" xfId="0" applyNumberFormat="1" applyFont="1" applyFill="1" applyBorder="1" applyAlignment="1">
      <alignment horizontal="center" vertical="center"/>
    </xf>
    <xf numFmtId="2" fontId="15" fillId="3" borderId="21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0" fontId="2" fillId="4" borderId="0" xfId="1" applyFont="1" applyFill="1" applyAlignment="1">
      <alignment horizontal="center" vertical="center" wrapText="1"/>
    </xf>
    <xf numFmtId="0" fontId="1" fillId="0" borderId="26" xfId="1" applyBorder="1" applyAlignment="1" applyProtection="1">
      <alignment horizontal="center" wrapText="1"/>
      <protection locked="0"/>
    </xf>
    <xf numFmtId="0" fontId="1" fillId="0" borderId="27" xfId="1" applyBorder="1" applyAlignment="1" applyProtection="1">
      <alignment horizontal="center"/>
      <protection locked="0"/>
    </xf>
    <xf numFmtId="0" fontId="1" fillId="0" borderId="27" xfId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8" borderId="26" xfId="0" applyFill="1" applyBorder="1" applyAlignment="1">
      <alignment horizontal="center" wrapText="1"/>
    </xf>
    <xf numFmtId="0" fontId="0" fillId="8" borderId="36" xfId="0" applyFill="1" applyBorder="1"/>
    <xf numFmtId="0" fontId="0" fillId="8" borderId="39" xfId="0" applyFill="1" applyBorder="1"/>
    <xf numFmtId="0" fontId="0" fillId="8" borderId="40" xfId="0" applyFill="1" applyBorder="1"/>
    <xf numFmtId="0" fontId="0" fillId="8" borderId="41" xfId="0" applyFill="1" applyBorder="1" applyAlignment="1">
      <alignment horizontal="center" wrapText="1"/>
    </xf>
    <xf numFmtId="0" fontId="0" fillId="7" borderId="42" xfId="0" applyFill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7" borderId="35" xfId="0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5" xfId="0" applyBorder="1"/>
    <xf numFmtId="0" fontId="0" fillId="0" borderId="31" xfId="0" applyBorder="1"/>
    <xf numFmtId="0" fontId="0" fillId="7" borderId="35" xfId="0" applyFill="1" applyBorder="1"/>
    <xf numFmtId="0" fontId="0" fillId="7" borderId="31" xfId="0" applyFill="1" applyBorder="1"/>
    <xf numFmtId="0" fontId="0" fillId="3" borderId="1" xfId="0" applyFill="1" applyBorder="1" applyAlignment="1">
      <alignment horizontal="center" vertical="center"/>
    </xf>
    <xf numFmtId="0" fontId="0" fillId="0" borderId="18" xfId="0" applyBorder="1"/>
    <xf numFmtId="0" fontId="0" fillId="7" borderId="18" xfId="0" applyFill="1" applyBorder="1"/>
    <xf numFmtId="0" fontId="0" fillId="0" borderId="30" xfId="0" applyBorder="1"/>
    <xf numFmtId="0" fontId="0" fillId="7" borderId="30" xfId="0" applyFill="1" applyBorder="1"/>
    <xf numFmtId="0" fontId="0" fillId="7" borderId="0" xfId="0" applyFill="1" applyAlignment="1">
      <alignment horizontal="center"/>
    </xf>
    <xf numFmtId="0" fontId="0" fillId="7" borderId="27" xfId="0" applyFill="1" applyBorder="1" applyAlignment="1">
      <alignment horizontal="center"/>
    </xf>
    <xf numFmtId="0" fontId="16" fillId="9" borderId="19" xfId="0" applyFont="1" applyFill="1" applyBorder="1" applyAlignment="1">
      <alignment horizontal="center" vertical="center" wrapText="1"/>
    </xf>
    <xf numFmtId="0" fontId="16" fillId="9" borderId="1" xfId="0" applyFont="1" applyFill="1" applyBorder="1" applyAlignment="1">
      <alignment horizontal="center" vertical="center"/>
    </xf>
    <xf numFmtId="1" fontId="15" fillId="3" borderId="12" xfId="0" applyNumberFormat="1" applyFont="1" applyFill="1" applyBorder="1" applyAlignment="1">
      <alignment horizontal="left" indent="1"/>
    </xf>
    <xf numFmtId="0" fontId="15" fillId="3" borderId="11" xfId="0" applyFont="1" applyFill="1" applyBorder="1" applyAlignment="1">
      <alignment horizontal="center"/>
    </xf>
    <xf numFmtId="0" fontId="15" fillId="3" borderId="13" xfId="0" applyFont="1" applyFill="1" applyBorder="1" applyAlignment="1">
      <alignment horizontal="left" indent="1"/>
    </xf>
    <xf numFmtId="1" fontId="15" fillId="2" borderId="1" xfId="0" applyNumberFormat="1" applyFont="1" applyFill="1" applyBorder="1" applyAlignment="1">
      <alignment horizontal="left" indent="1"/>
    </xf>
    <xf numFmtId="1" fontId="28" fillId="2" borderId="12" xfId="0" applyNumberFormat="1" applyFont="1" applyFill="1" applyBorder="1" applyAlignment="1">
      <alignment horizontal="left" indent="1"/>
    </xf>
    <xf numFmtId="0" fontId="15" fillId="2" borderId="13" xfId="0" applyFont="1" applyFill="1" applyBorder="1" applyAlignment="1">
      <alignment horizontal="left" indent="1"/>
    </xf>
    <xf numFmtId="1" fontId="15" fillId="2" borderId="12" xfId="0" applyNumberFormat="1" applyFont="1" applyFill="1" applyBorder="1" applyAlignment="1">
      <alignment horizontal="left" indent="1"/>
    </xf>
    <xf numFmtId="14" fontId="0" fillId="2" borderId="0" xfId="0" applyNumberFormat="1" applyFill="1"/>
    <xf numFmtId="0" fontId="0" fillId="7" borderId="6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16" fillId="9" borderId="2" xfId="0" applyFont="1" applyFill="1" applyBorder="1" applyAlignment="1">
      <alignment horizontal="center" vertical="center" wrapText="1"/>
    </xf>
    <xf numFmtId="0" fontId="16" fillId="9" borderId="3" xfId="0" applyFont="1" applyFill="1" applyBorder="1" applyAlignment="1">
      <alignment horizontal="center" vertical="center" wrapText="1"/>
    </xf>
    <xf numFmtId="0" fontId="16" fillId="9" borderId="4" xfId="0" applyFont="1" applyFill="1" applyBorder="1" applyAlignment="1">
      <alignment horizontal="center" vertical="center" wrapText="1"/>
    </xf>
    <xf numFmtId="0" fontId="16" fillId="9" borderId="36" xfId="0" applyFont="1" applyFill="1" applyBorder="1" applyAlignment="1">
      <alignment horizontal="center" vertical="center"/>
    </xf>
    <xf numFmtId="0" fontId="16" fillId="9" borderId="37" xfId="0" applyFont="1" applyFill="1" applyBorder="1" applyAlignment="1">
      <alignment horizontal="center" vertical="center"/>
    </xf>
    <xf numFmtId="0" fontId="16" fillId="9" borderId="38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9" fillId="9" borderId="3" xfId="0" applyFont="1" applyFill="1" applyBorder="1" applyAlignment="1">
      <alignment horizontal="center" vertical="center" wrapText="1"/>
    </xf>
    <xf numFmtId="0" fontId="9" fillId="9" borderId="4" xfId="0" applyFont="1" applyFill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6" fillId="9" borderId="25" xfId="0" applyFont="1" applyFill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6" fillId="9" borderId="16" xfId="0" applyFont="1" applyFill="1" applyBorder="1" applyAlignment="1">
      <alignment horizontal="center" vertical="center"/>
    </xf>
    <xf numFmtId="0" fontId="16" fillId="9" borderId="34" xfId="0" applyFont="1" applyFill="1" applyBorder="1" applyAlignment="1">
      <alignment horizontal="center" vertical="center"/>
    </xf>
    <xf numFmtId="0" fontId="16" fillId="9" borderId="24" xfId="0" applyFont="1" applyFill="1" applyBorder="1" applyAlignment="1">
      <alignment horizontal="center" vertical="center"/>
    </xf>
    <xf numFmtId="0" fontId="16" fillId="9" borderId="3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16" fillId="9" borderId="2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69199632-6076-45D2-8D1B-FDEEAABA1176}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cid:b789bff8-5d75-4732-b913-1a48a9c70a79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661358</xdr:colOff>
      <xdr:row>11</xdr:row>
      <xdr:rowOff>28754</xdr:rowOff>
    </xdr:from>
    <xdr:to>
      <xdr:col>5</xdr:col>
      <xdr:colOff>1399396</xdr:colOff>
      <xdr:row>17</xdr:row>
      <xdr:rowOff>172528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EE68676-599A-35BE-9419-FE176787BF22}"/>
            </a:ext>
          </a:extLst>
        </xdr:cNvPr>
        <xdr:cNvCxnSpPr/>
      </xdr:nvCxnSpPr>
      <xdr:spPr>
        <a:xfrm flipH="1">
          <a:off x="7179094" y="575094"/>
          <a:ext cx="738038" cy="1236453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1092680</xdr:colOff>
      <xdr:row>12</xdr:row>
      <xdr:rowOff>67094</xdr:rowOff>
    </xdr:from>
    <xdr:to>
      <xdr:col>5</xdr:col>
      <xdr:colOff>450490</xdr:colOff>
      <xdr:row>17</xdr:row>
      <xdr:rowOff>162943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5FE3498F-C334-41A2-BCB6-15A89764575C}"/>
            </a:ext>
          </a:extLst>
        </xdr:cNvPr>
        <xdr:cNvCxnSpPr/>
      </xdr:nvCxnSpPr>
      <xdr:spPr>
        <a:xfrm>
          <a:off x="5099171" y="795547"/>
          <a:ext cx="1869055" cy="100641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875385</xdr:colOff>
      <xdr:row>39</xdr:row>
      <xdr:rowOff>100968</xdr:rowOff>
    </xdr:from>
    <xdr:to>
      <xdr:col>6</xdr:col>
      <xdr:colOff>1026348</xdr:colOff>
      <xdr:row>44</xdr:row>
      <xdr:rowOff>165666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36DAF4D-6F98-4EF9-B9BA-07D0769982F3}"/>
            </a:ext>
          </a:extLst>
        </xdr:cNvPr>
        <xdr:cNvCxnSpPr/>
      </xdr:nvCxnSpPr>
      <xdr:spPr>
        <a:xfrm flipH="1" flipV="1">
          <a:off x="8890109" y="12538690"/>
          <a:ext cx="150963" cy="2370303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799904</xdr:colOff>
      <xdr:row>38</xdr:row>
      <xdr:rowOff>407794</xdr:rowOff>
    </xdr:from>
    <xdr:to>
      <xdr:col>5</xdr:col>
      <xdr:colOff>70580</xdr:colOff>
      <xdr:row>40</xdr:row>
      <xdr:rowOff>258792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788D0FFF-286F-4419-8104-17D972588A18}"/>
            </a:ext>
          </a:extLst>
        </xdr:cNvPr>
        <xdr:cNvCxnSpPr/>
      </xdr:nvCxnSpPr>
      <xdr:spPr>
        <a:xfrm flipH="1" flipV="1">
          <a:off x="3544672" y="12241667"/>
          <a:ext cx="3058457" cy="807746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1693914</xdr:colOff>
      <xdr:row>37</xdr:row>
      <xdr:rowOff>9585</xdr:rowOff>
    </xdr:from>
    <xdr:to>
      <xdr:col>2</xdr:col>
      <xdr:colOff>460075</xdr:colOff>
      <xdr:row>43</xdr:row>
      <xdr:rowOff>745008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C96D4AF-FBAC-4FDF-8085-03CD4AA3CE94}"/>
            </a:ext>
          </a:extLst>
        </xdr:cNvPr>
        <xdr:cNvCxnSpPr/>
      </xdr:nvCxnSpPr>
      <xdr:spPr>
        <a:xfrm flipV="1">
          <a:off x="1889969" y="11200398"/>
          <a:ext cx="1314874" cy="3213557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1036151</xdr:colOff>
      <xdr:row>5</xdr:row>
      <xdr:rowOff>5882</xdr:rowOff>
    </xdr:from>
    <xdr:to>
      <xdr:col>1</xdr:col>
      <xdr:colOff>2298275</xdr:colOff>
      <xdr:row>7</xdr:row>
      <xdr:rowOff>106617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BBBFA33-A1C3-1FDD-D726-9453155F5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2206" y="915577"/>
          <a:ext cx="1262124" cy="464650"/>
        </a:xfrm>
        <a:prstGeom prst="rect">
          <a:avLst/>
        </a:prstGeom>
      </xdr:spPr>
    </xdr:pic>
    <xdr:clientData/>
  </xdr:twoCellAnchor>
  <xdr:twoCellAnchor>
    <xdr:from>
      <xdr:col>3</xdr:col>
      <xdr:colOff>39211</xdr:colOff>
      <xdr:row>41</xdr:row>
      <xdr:rowOff>494058</xdr:rowOff>
    </xdr:from>
    <xdr:to>
      <xdr:col>5</xdr:col>
      <xdr:colOff>15684</xdr:colOff>
      <xdr:row>42</xdr:row>
      <xdr:rowOff>117633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8EA85E2-8A62-4887-93F9-42281D7273BC}"/>
            </a:ext>
          </a:extLst>
        </xdr:cNvPr>
        <xdr:cNvCxnSpPr/>
      </xdr:nvCxnSpPr>
      <xdr:spPr>
        <a:xfrm flipH="1">
          <a:off x="4046573" y="13770895"/>
          <a:ext cx="2501660" cy="12547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1160644</xdr:colOff>
      <xdr:row>7</xdr:row>
      <xdr:rowOff>23528</xdr:rowOff>
    </xdr:from>
    <xdr:to>
      <xdr:col>1</xdr:col>
      <xdr:colOff>2075044</xdr:colOff>
      <xdr:row>8</xdr:row>
      <xdr:rowOff>127044</xdr:rowOff>
    </xdr:to>
    <xdr:pic>
      <xdr:nvPicPr>
        <xdr:cNvPr id="5" name="image_0">
          <a:extLst>
            <a:ext uri="{FF2B5EF4-FFF2-40B4-BE49-F238E27FC236}">
              <a16:creationId xmlns:a16="http://schemas.microsoft.com/office/drawing/2014/main" id="{4F61A2AF-AF99-693D-0B14-EE2A5648B2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6699" y="1293963"/>
          <a:ext cx="914400" cy="2838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jmackay_laingorourke_com/Documents/Desktop/24-09-20%20A4100-EXPAND%20EDB%20062/CALCS/Avonmouth/Pour%20ID%20-%20EDR%20-%20Programme%20-%20Analysis%2023.11.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duction Mix Dashboard"/>
      <sheetName val="Modelling Programme"/>
      <sheetName val="TW Cage Breakdown"/>
      <sheetName val="TW Cage Breakdown (2)"/>
      <sheetName val="How Many Spacers"/>
      <sheetName val="DERF Generator"/>
      <sheetName val="Pour Merges"/>
      <sheetName val="Cage Schedule"/>
      <sheetName val="Cage Schedule (2)"/>
      <sheetName val="Model-Wall-Cage Triage"/>
      <sheetName val="Sheet1"/>
      <sheetName val="Sheet2"/>
      <sheetName val="EDR2A &amp; 3B FCRs - Element Level"/>
      <sheetName val="SFS Breakdown"/>
      <sheetName val="Merge Opportunities"/>
      <sheetName val="Lists"/>
      <sheetName val="PMH1 EL&gt;PR"/>
      <sheetName val="PMH2 PR&gt;DATE"/>
      <sheetName val="PMH3 GRAPHS"/>
      <sheetName val="PMH4 TONS-CAGE"/>
      <sheetName val="PMH5"/>
      <sheetName val="Model Summary"/>
      <sheetName val="P6 Dump"/>
      <sheetName val="Model-Pour Smry"/>
      <sheetName val="Opportunity by Type"/>
      <sheetName val="Model-Pour-Element Summary"/>
      <sheetName val="Element Type"/>
      <sheetName val="Tonnage-Concrete Analysis V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1">
          <cell r="Q1" t="str">
            <v>Model</v>
          </cell>
        </row>
        <row r="2">
          <cell r="Q2" t="str">
            <v>HPC-OH1251-U1-HP7-MDL-300364</v>
          </cell>
        </row>
        <row r="3">
          <cell r="Q3" t="str">
            <v>HPC-OH1251-U1-HP7-MDL-300365</v>
          </cell>
        </row>
        <row r="4">
          <cell r="J4" t="str">
            <v>Not Started</v>
          </cell>
          <cell r="Q4" t="str">
            <v>HPC-OH1251-AU-HP7-MDL-301665</v>
          </cell>
        </row>
        <row r="5">
          <cell r="J5" t="str">
            <v>In Progress</v>
          </cell>
          <cell r="Q5" t="str">
            <v>HPC-OH1251-AU-HP7-MDL-301664</v>
          </cell>
        </row>
        <row r="6">
          <cell r="J6" t="str">
            <v>For BYLOR Review</v>
          </cell>
          <cell r="Q6" t="str">
            <v>HPC-OH1251-AU-HP7-MDL-301667</v>
          </cell>
        </row>
        <row r="7">
          <cell r="J7" t="str">
            <v>Review Failed</v>
          </cell>
          <cell r="Q7" t="str">
            <v>HPC-OH1251-AU-HP7-MDL-301666</v>
          </cell>
        </row>
        <row r="8">
          <cell r="J8" t="str">
            <v>Review Passed</v>
          </cell>
          <cell r="Q8" t="str">
            <v>HPC-OH1251-AU-HP7-MDL-301668</v>
          </cell>
        </row>
        <row r="9">
          <cell r="H9" t="str">
            <v>Yes</v>
          </cell>
          <cell r="J9" t="str">
            <v>Complete</v>
          </cell>
          <cell r="Q9" t="str">
            <v>HPC-OH1251-AU-HP7-MDL-301669</v>
          </cell>
        </row>
        <row r="10">
          <cell r="H10" t="str">
            <v>No</v>
          </cell>
          <cell r="Q10" t="str">
            <v>HPC-OH1251-AU-HP7-MDL-301675</v>
          </cell>
        </row>
        <row r="11">
          <cell r="Q11" t="str">
            <v>HPC-OH1251-AU-HP7-MDL-301676</v>
          </cell>
        </row>
        <row r="12">
          <cell r="Q12" t="str">
            <v>HPC-OH1251-AU-HP7-MDL-301677</v>
          </cell>
        </row>
        <row r="13">
          <cell r="Q13" t="str">
            <v>HPC-OH1251-AU-HP7-MDL-301678</v>
          </cell>
        </row>
        <row r="14">
          <cell r="Q14" t="str">
            <v>HPC-OH1251-AU-HP7-MDL-301679</v>
          </cell>
        </row>
        <row r="15">
          <cell r="Q15" t="str">
            <v>HPC-OH1251-AU-HP7-MDL-302705</v>
          </cell>
        </row>
        <row r="16">
          <cell r="Q16" t="str">
            <v>HPC-OH1251-AU-HP7-MDL-302707</v>
          </cell>
        </row>
        <row r="17">
          <cell r="Q17" t="str">
            <v>HPC-OH1251-AU-HP7-MDL-302709</v>
          </cell>
        </row>
        <row r="18">
          <cell r="Q18" t="str">
            <v>HPC-OH1251-AU-HP7-MDL-302711</v>
          </cell>
        </row>
        <row r="19">
          <cell r="Q19" t="str">
            <v>HPC-OH1251-AU-HP7-MDL-302713</v>
          </cell>
        </row>
        <row r="20">
          <cell r="Q20" t="str">
            <v>HPC-OH1251-AU-HP7-MDL-302715</v>
          </cell>
        </row>
        <row r="21">
          <cell r="Q21" t="str">
            <v>HPC-OH1251-AU-HP7-MDL-304853</v>
          </cell>
        </row>
        <row r="22">
          <cell r="Q22" t="str">
            <v>HPC-OH1251-AU-HP7-MDL-304855</v>
          </cell>
        </row>
        <row r="23">
          <cell r="Q23" t="str">
            <v>HPC-OH1251-AU-HP7-MDL-304856</v>
          </cell>
        </row>
        <row r="24">
          <cell r="Q24" t="str">
            <v>HPC-OH1251-AU-HP7-MDL-304857</v>
          </cell>
        </row>
        <row r="25">
          <cell r="Q25" t="str">
            <v>HPC-OH1251-AU-HP7-MDL-304854</v>
          </cell>
        </row>
        <row r="26">
          <cell r="Q26" t="str">
            <v>HPC-OH1251-AU-HP7-MDL-304858</v>
          </cell>
        </row>
        <row r="27">
          <cell r="Q27" t="str">
            <v>HPC-OH1251-AU-HP7-MDL-304859</v>
          </cell>
        </row>
        <row r="28">
          <cell r="Q28" t="str">
            <v>HPC-OH1251-AU-HP7-MDL-304861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48DEF-1BD1-4C6D-93EB-4600663209D2}">
  <sheetPr codeName="Sheet1"/>
  <dimension ref="A1:AF60"/>
  <sheetViews>
    <sheetView tabSelected="1" topLeftCell="A15" zoomScale="70" zoomScaleNormal="70" workbookViewId="0">
      <selection activeCell="H32" sqref="H32"/>
    </sheetView>
  </sheetViews>
  <sheetFormatPr defaultRowHeight="14.5" x14ac:dyDescent="0.35"/>
  <cols>
    <col min="1" max="1" width="2.81640625" customWidth="1"/>
    <col min="2" max="2" width="36.81640625" bestFit="1" customWidth="1"/>
    <col min="3" max="5" width="18.26953125" customWidth="1"/>
    <col min="6" max="6" width="24.7265625" customWidth="1"/>
    <col min="7" max="7" width="18.26953125" customWidth="1"/>
    <col min="8" max="8" width="21.453125" customWidth="1"/>
    <col min="9" max="9" width="20.81640625" customWidth="1"/>
    <col min="10" max="10" width="9" customWidth="1"/>
    <col min="11" max="11" width="12" customWidth="1"/>
    <col min="12" max="16" width="9" customWidth="1"/>
    <col min="17" max="17" width="13.1796875" customWidth="1"/>
    <col min="18" max="25" width="9" customWidth="1"/>
    <col min="27" max="27" width="17.26953125" customWidth="1"/>
    <col min="31" max="31" width="12.7265625" customWidth="1"/>
  </cols>
  <sheetData>
    <row r="1" spans="1:7" ht="15" thickBot="1" x14ac:dyDescent="0.4">
      <c r="A1" s="4"/>
      <c r="B1" s="4"/>
      <c r="C1" s="4"/>
      <c r="D1" s="4"/>
      <c r="E1" s="4"/>
      <c r="F1" s="4"/>
    </row>
    <row r="2" spans="1:7" x14ac:dyDescent="0.35">
      <c r="A2" s="4"/>
      <c r="B2" s="59" t="s">
        <v>0</v>
      </c>
      <c r="C2" s="4"/>
      <c r="D2" s="4"/>
      <c r="E2" s="4"/>
      <c r="F2" s="4"/>
    </row>
    <row r="3" spans="1:7" x14ac:dyDescent="0.35">
      <c r="A3" s="4"/>
      <c r="B3" s="60" t="s">
        <v>1</v>
      </c>
      <c r="C3" s="4"/>
      <c r="D3" s="4"/>
      <c r="E3" s="4"/>
      <c r="F3" s="4"/>
    </row>
    <row r="4" spans="1:7" x14ac:dyDescent="0.35">
      <c r="A4" s="4"/>
      <c r="B4" s="60" t="s">
        <v>2</v>
      </c>
      <c r="C4" s="4"/>
      <c r="D4" s="4"/>
      <c r="E4" s="4"/>
      <c r="F4" s="4"/>
    </row>
    <row r="5" spans="1:7" x14ac:dyDescent="0.35">
      <c r="A5" s="4"/>
      <c r="B5" s="60" t="s">
        <v>3</v>
      </c>
      <c r="D5" s="4"/>
      <c r="E5" s="4"/>
      <c r="F5" s="4"/>
    </row>
    <row r="6" spans="1:7" x14ac:dyDescent="0.35">
      <c r="A6" s="4"/>
      <c r="B6" s="60" t="s">
        <v>4</v>
      </c>
      <c r="C6" s="4"/>
      <c r="D6" s="4"/>
      <c r="E6" s="4"/>
      <c r="F6" s="4"/>
    </row>
    <row r="7" spans="1:7" x14ac:dyDescent="0.35">
      <c r="A7" s="4"/>
      <c r="B7" s="60"/>
      <c r="C7" s="4"/>
      <c r="D7" s="4"/>
      <c r="E7" s="4"/>
      <c r="F7" s="4"/>
    </row>
    <row r="8" spans="1:7" x14ac:dyDescent="0.35">
      <c r="A8" s="4"/>
      <c r="B8" s="60" t="s">
        <v>5</v>
      </c>
      <c r="C8" s="4"/>
      <c r="D8" s="4"/>
      <c r="E8" s="4"/>
      <c r="F8" s="4"/>
    </row>
    <row r="9" spans="1:7" x14ac:dyDescent="0.35">
      <c r="A9" s="4"/>
      <c r="B9" s="60"/>
      <c r="C9" s="4"/>
      <c r="D9" s="4"/>
      <c r="E9" s="4"/>
      <c r="F9" s="4"/>
    </row>
    <row r="10" spans="1:7" ht="15" thickBot="1" x14ac:dyDescent="0.4">
      <c r="A10" s="4"/>
      <c r="B10" s="61" t="s">
        <v>6</v>
      </c>
      <c r="C10" s="4" t="s">
        <v>7</v>
      </c>
      <c r="D10" s="4"/>
      <c r="E10" s="4"/>
      <c r="F10" s="4" t="s">
        <v>8</v>
      </c>
    </row>
    <row r="11" spans="1:7" x14ac:dyDescent="0.35">
      <c r="A11" s="4"/>
      <c r="B11" s="4"/>
      <c r="C11" s="4" t="s">
        <v>9</v>
      </c>
      <c r="D11" s="4"/>
      <c r="E11" s="4"/>
      <c r="F11" s="4" t="s">
        <v>10</v>
      </c>
    </row>
    <row r="12" spans="1:7" x14ac:dyDescent="0.35">
      <c r="A12" s="4"/>
      <c r="B12" s="4"/>
      <c r="C12" s="4" t="s">
        <v>11</v>
      </c>
      <c r="D12" s="4"/>
      <c r="E12" s="4"/>
      <c r="F12" s="4"/>
    </row>
    <row r="13" spans="1:7" x14ac:dyDescent="0.35">
      <c r="A13" s="4"/>
      <c r="B13" s="4"/>
      <c r="C13" s="4" t="s">
        <v>12</v>
      </c>
      <c r="D13" s="4"/>
      <c r="E13" s="4"/>
      <c r="F13" s="4"/>
      <c r="G13" t="s">
        <v>13</v>
      </c>
    </row>
    <row r="14" spans="1:7" x14ac:dyDescent="0.35">
      <c r="A14" s="4"/>
      <c r="B14" s="4"/>
      <c r="C14" s="4" t="s">
        <v>14</v>
      </c>
      <c r="D14" s="4"/>
      <c r="E14" s="4"/>
      <c r="F14" s="4"/>
    </row>
    <row r="15" spans="1:7" x14ac:dyDescent="0.35">
      <c r="A15" s="4"/>
      <c r="B15" s="4"/>
      <c r="C15" s="4"/>
      <c r="D15" s="4"/>
      <c r="E15" s="4"/>
      <c r="F15" s="4"/>
      <c r="G15" t="s">
        <v>15</v>
      </c>
    </row>
    <row r="16" spans="1:7" ht="15" thickBot="1" x14ac:dyDescent="0.4">
      <c r="A16" s="4"/>
      <c r="B16" s="4"/>
      <c r="C16" s="4"/>
      <c r="D16" s="4"/>
      <c r="E16" s="4"/>
      <c r="F16" s="4"/>
    </row>
    <row r="17" spans="1:32" ht="15" thickBot="1" x14ac:dyDescent="0.4">
      <c r="A17" s="4"/>
      <c r="B17" s="4"/>
      <c r="C17" s="4"/>
      <c r="D17" s="4"/>
      <c r="E17" s="4"/>
      <c r="F17" s="4"/>
      <c r="U17" s="211" t="s">
        <v>16</v>
      </c>
      <c r="V17" s="212"/>
      <c r="W17" s="212"/>
      <c r="X17" s="213"/>
    </row>
    <row r="18" spans="1:32" ht="15" thickBot="1" x14ac:dyDescent="0.4">
      <c r="A18" s="4"/>
      <c r="B18" s="4"/>
      <c r="C18" s="4"/>
      <c r="D18" s="4"/>
      <c r="E18" s="4"/>
      <c r="F18" s="4"/>
      <c r="L18" s="211" t="s">
        <v>16</v>
      </c>
      <c r="M18" s="212"/>
      <c r="N18" s="212"/>
      <c r="O18" s="213"/>
    </row>
    <row r="19" spans="1:32" ht="31.9" customHeight="1" thickBot="1" x14ac:dyDescent="0.4">
      <c r="A19" s="4"/>
      <c r="B19" s="4"/>
      <c r="C19" s="79" t="s">
        <v>17</v>
      </c>
      <c r="D19" s="79" t="s">
        <v>18</v>
      </c>
      <c r="E19" s="170" t="s">
        <v>19</v>
      </c>
      <c r="F19" s="174" t="s">
        <v>20</v>
      </c>
      <c r="G19" s="26"/>
      <c r="H19" s="26"/>
      <c r="I19" s="26"/>
      <c r="J19" s="26"/>
      <c r="K19" s="27"/>
      <c r="L19" s="220" t="s">
        <v>21</v>
      </c>
      <c r="M19" s="221"/>
      <c r="N19" s="221"/>
      <c r="O19" s="222"/>
      <c r="Q19" s="8"/>
      <c r="R19" s="218" t="s">
        <v>22</v>
      </c>
      <c r="S19" s="218"/>
      <c r="T19" s="218"/>
      <c r="U19" s="218" t="s">
        <v>23</v>
      </c>
      <c r="V19" s="218"/>
      <c r="W19" s="218"/>
      <c r="X19" s="218" t="s">
        <v>24</v>
      </c>
      <c r="Y19" s="218"/>
      <c r="Z19" s="218"/>
      <c r="AB19" s="42"/>
      <c r="AC19" s="205" t="s">
        <v>25</v>
      </c>
      <c r="AD19" s="214"/>
      <c r="AE19" s="214"/>
      <c r="AF19" s="215"/>
    </row>
    <row r="20" spans="1:32" ht="53" thickBot="1" x14ac:dyDescent="0.4">
      <c r="A20" s="4"/>
      <c r="B20" s="171" t="s">
        <v>26</v>
      </c>
      <c r="C20" s="177">
        <v>25</v>
      </c>
      <c r="D20" s="177">
        <v>32</v>
      </c>
      <c r="E20" s="177">
        <v>16</v>
      </c>
      <c r="F20" s="204"/>
      <c r="G20" s="7"/>
      <c r="H20" s="7"/>
      <c r="I20" s="7"/>
      <c r="J20" s="7"/>
      <c r="K20" s="28" t="s">
        <v>27</v>
      </c>
      <c r="L20" s="191" t="s">
        <v>28</v>
      </c>
      <c r="M20" s="191" t="s">
        <v>29</v>
      </c>
      <c r="N20" s="191" t="s">
        <v>30</v>
      </c>
      <c r="O20" s="29" t="s">
        <v>31</v>
      </c>
      <c r="Q20" s="9" t="s">
        <v>32</v>
      </c>
      <c r="R20" s="10" t="s">
        <v>33</v>
      </c>
      <c r="S20" s="11" t="s">
        <v>34</v>
      </c>
      <c r="T20" s="11" t="s">
        <v>35</v>
      </c>
      <c r="U20" s="10" t="s">
        <v>33</v>
      </c>
      <c r="V20" s="11" t="s">
        <v>34</v>
      </c>
      <c r="W20" s="11" t="s">
        <v>35</v>
      </c>
      <c r="X20" s="10" t="s">
        <v>33</v>
      </c>
      <c r="Y20" s="11" t="s">
        <v>34</v>
      </c>
      <c r="Z20" s="12" t="s">
        <v>35</v>
      </c>
      <c r="AB20" s="27"/>
      <c r="AC20" s="43" t="s">
        <v>36</v>
      </c>
      <c r="AD20" s="44" t="s">
        <v>37</v>
      </c>
      <c r="AE20" s="43" t="s">
        <v>38</v>
      </c>
      <c r="AF20" s="43" t="s">
        <v>39</v>
      </c>
    </row>
    <row r="21" spans="1:32" ht="21.5" thickBot="1" x14ac:dyDescent="0.4">
      <c r="A21" s="4"/>
      <c r="B21" s="172" t="s">
        <v>40</v>
      </c>
      <c r="C21" s="177">
        <v>25</v>
      </c>
      <c r="D21" s="177">
        <v>25</v>
      </c>
      <c r="E21" s="178"/>
      <c r="F21" s="175">
        <v>3.6</v>
      </c>
      <c r="G21" s="7"/>
      <c r="H21" s="7"/>
      <c r="I21" s="7"/>
      <c r="J21" s="7"/>
      <c r="K21" s="35">
        <v>0.5</v>
      </c>
      <c r="L21" s="36">
        <v>25</v>
      </c>
      <c r="M21" s="36">
        <v>25</v>
      </c>
      <c r="N21" s="36">
        <v>25</v>
      </c>
      <c r="O21" s="37">
        <v>6</v>
      </c>
      <c r="Q21" s="13" t="s">
        <v>41</v>
      </c>
      <c r="R21" s="225" t="s">
        <v>42</v>
      </c>
      <c r="S21" s="223"/>
      <c r="T21" s="223"/>
      <c r="U21" s="223"/>
      <c r="V21" s="223"/>
      <c r="W21" s="223"/>
      <c r="X21" s="223"/>
      <c r="Y21" s="223"/>
      <c r="Z21" s="224"/>
      <c r="AB21" s="219" t="s">
        <v>43</v>
      </c>
      <c r="AC21" s="45" t="s">
        <v>44</v>
      </c>
      <c r="AD21" s="46" t="s">
        <v>45</v>
      </c>
      <c r="AE21" s="46" t="s">
        <v>45</v>
      </c>
      <c r="AF21" s="46" t="s">
        <v>45</v>
      </c>
    </row>
    <row r="22" spans="1:32" ht="15" thickBot="1" x14ac:dyDescent="0.4">
      <c r="A22" s="4"/>
      <c r="B22" s="172" t="s">
        <v>46</v>
      </c>
      <c r="C22" s="201">
        <v>0</v>
      </c>
      <c r="D22" s="201">
        <v>0</v>
      </c>
      <c r="E22" s="190"/>
      <c r="F22" s="202"/>
      <c r="G22" s="7"/>
      <c r="H22" s="7"/>
      <c r="I22" s="7"/>
      <c r="J22" s="7"/>
      <c r="K22" s="35">
        <v>0.8</v>
      </c>
      <c r="L22" s="36">
        <v>25</v>
      </c>
      <c r="M22" s="36">
        <v>25</v>
      </c>
      <c r="N22" s="36">
        <v>25</v>
      </c>
      <c r="O22" s="37">
        <v>6</v>
      </c>
      <c r="Q22" s="121">
        <v>0.2</v>
      </c>
      <c r="R22" s="135">
        <v>1.8</v>
      </c>
      <c r="S22" s="135">
        <v>1.8</v>
      </c>
      <c r="T22" s="19">
        <v>1.8</v>
      </c>
      <c r="U22" s="137">
        <v>2.2000000000000002</v>
      </c>
      <c r="V22" s="14">
        <v>2.2000000000000002</v>
      </c>
      <c r="W22" s="25">
        <v>2</v>
      </c>
      <c r="X22" s="137">
        <v>2.2000000000000002</v>
      </c>
      <c r="Y22" s="135">
        <v>2.2000000000000002</v>
      </c>
      <c r="Z22" s="25">
        <v>2.2000000000000002</v>
      </c>
      <c r="AB22" s="217"/>
      <c r="AC22" s="47" t="s">
        <v>47</v>
      </c>
      <c r="AD22" s="48" t="s">
        <v>48</v>
      </c>
      <c r="AE22" s="48" t="s">
        <v>48</v>
      </c>
      <c r="AF22" s="48" t="s">
        <v>48</v>
      </c>
    </row>
    <row r="23" spans="1:32" ht="14.25" customHeight="1" thickBot="1" x14ac:dyDescent="0.4">
      <c r="A23" s="4"/>
      <c r="B23" s="172" t="s">
        <v>49</v>
      </c>
      <c r="C23" s="201">
        <v>0</v>
      </c>
      <c r="D23" s="201">
        <v>0</v>
      </c>
      <c r="E23" s="82"/>
      <c r="F23" s="190"/>
      <c r="G23" s="7"/>
      <c r="H23" s="7"/>
      <c r="I23" s="7"/>
      <c r="J23" s="7"/>
      <c r="K23" s="35">
        <v>1.1000000000000001</v>
      </c>
      <c r="L23" s="36">
        <v>25</v>
      </c>
      <c r="M23" s="36">
        <v>25</v>
      </c>
      <c r="N23" s="36">
        <v>25</v>
      </c>
      <c r="O23" s="37">
        <v>6</v>
      </c>
      <c r="Q23" s="122">
        <v>0.4</v>
      </c>
      <c r="R23" s="136">
        <v>1.8</v>
      </c>
      <c r="S23" s="14">
        <v>1.8</v>
      </c>
      <c r="T23" s="20">
        <v>1.8</v>
      </c>
      <c r="U23" s="23">
        <v>2.2000000000000002</v>
      </c>
      <c r="V23" s="17">
        <v>2</v>
      </c>
      <c r="W23" s="20">
        <v>2</v>
      </c>
      <c r="X23" s="138">
        <v>2.2000000000000002</v>
      </c>
      <c r="Y23" s="17">
        <v>2.2000000000000002</v>
      </c>
      <c r="Z23" s="20">
        <v>2</v>
      </c>
      <c r="AB23" s="216" t="s">
        <v>50</v>
      </c>
      <c r="AC23" s="49" t="s">
        <v>44</v>
      </c>
      <c r="AD23" s="50" t="s">
        <v>45</v>
      </c>
      <c r="AE23" s="50" t="s">
        <v>45</v>
      </c>
      <c r="AF23" s="50" t="s">
        <v>45</v>
      </c>
    </row>
    <row r="24" spans="1:32" ht="42.25" customHeight="1" thickBot="1" x14ac:dyDescent="0.4">
      <c r="A24" s="4"/>
      <c r="B24" s="171" t="s">
        <v>51</v>
      </c>
      <c r="C24" s="203">
        <v>0</v>
      </c>
      <c r="D24" s="190">
        <v>0</v>
      </c>
      <c r="E24" s="190">
        <v>0</v>
      </c>
      <c r="F24" s="202"/>
      <c r="G24" s="7"/>
      <c r="H24" s="7"/>
      <c r="I24" s="7"/>
      <c r="J24" s="7"/>
      <c r="K24" s="35">
        <v>1.5</v>
      </c>
      <c r="L24" s="193">
        <v>25</v>
      </c>
      <c r="M24" s="36">
        <v>25</v>
      </c>
      <c r="N24" s="36">
        <v>32</v>
      </c>
      <c r="O24" s="37">
        <v>6</v>
      </c>
      <c r="Q24" s="122">
        <v>0.6</v>
      </c>
      <c r="R24" s="15">
        <v>1.8</v>
      </c>
      <c r="S24" s="17">
        <v>1.8</v>
      </c>
      <c r="T24" s="20">
        <v>1.6</v>
      </c>
      <c r="U24" s="23">
        <v>2</v>
      </c>
      <c r="V24" s="17">
        <v>2</v>
      </c>
      <c r="W24" s="20">
        <v>1.8</v>
      </c>
      <c r="X24" s="23">
        <v>2.2000000000000002</v>
      </c>
      <c r="Y24" s="17">
        <v>2</v>
      </c>
      <c r="Z24" s="20">
        <v>2</v>
      </c>
      <c r="AB24" s="217"/>
      <c r="AC24" s="47" t="s">
        <v>47</v>
      </c>
      <c r="AD24" s="48" t="s">
        <v>52</v>
      </c>
      <c r="AE24" s="48" t="s">
        <v>52</v>
      </c>
      <c r="AF24" s="48" t="s">
        <v>52</v>
      </c>
    </row>
    <row r="25" spans="1:32" ht="15" thickBot="1" x14ac:dyDescent="0.4">
      <c r="A25" s="4"/>
      <c r="B25" s="172" t="s">
        <v>53</v>
      </c>
      <c r="C25" s="177"/>
      <c r="D25" s="177"/>
      <c r="E25" s="178"/>
      <c r="F25" s="175"/>
      <c r="G25" s="7"/>
      <c r="H25" s="7"/>
      <c r="I25" s="7"/>
      <c r="J25" s="7"/>
      <c r="K25" s="194">
        <v>2.6</v>
      </c>
      <c r="L25" s="193">
        <v>40</v>
      </c>
      <c r="M25" s="193">
        <v>32</v>
      </c>
      <c r="N25" s="193">
        <v>40</v>
      </c>
      <c r="O25" s="195">
        <v>4</v>
      </c>
      <c r="Q25" s="122">
        <v>0.8</v>
      </c>
      <c r="R25" s="15">
        <v>1.8</v>
      </c>
      <c r="S25" s="17">
        <v>1.6</v>
      </c>
      <c r="T25" s="20">
        <v>1.6</v>
      </c>
      <c r="U25" s="23">
        <v>2</v>
      </c>
      <c r="V25" s="17">
        <v>1.8</v>
      </c>
      <c r="W25" s="20">
        <v>1.6</v>
      </c>
      <c r="X25" s="23">
        <v>2.2000000000000002</v>
      </c>
      <c r="Y25" s="17">
        <v>2</v>
      </c>
      <c r="Z25" s="20">
        <v>1.8</v>
      </c>
      <c r="AB25" s="7"/>
      <c r="AC25" s="7"/>
      <c r="AD25" s="7"/>
      <c r="AE25" s="7"/>
      <c r="AF25" s="7"/>
    </row>
    <row r="26" spans="1:32" ht="34.75" customHeight="1" thickBot="1" x14ac:dyDescent="0.4">
      <c r="A26" s="4"/>
      <c r="B26" s="172" t="s">
        <v>54</v>
      </c>
      <c r="C26" s="177"/>
      <c r="D26" s="177"/>
      <c r="E26" s="177"/>
      <c r="F26" s="176"/>
      <c r="G26" s="7"/>
      <c r="H26" s="7"/>
      <c r="I26" s="7"/>
      <c r="J26" s="7"/>
      <c r="K26" s="7"/>
      <c r="L26" s="211" t="s">
        <v>55</v>
      </c>
      <c r="M26" s="212"/>
      <c r="N26" s="212"/>
      <c r="O26" s="213"/>
      <c r="Q26" s="123" t="s">
        <v>56</v>
      </c>
      <c r="R26" s="15">
        <v>1.6</v>
      </c>
      <c r="S26" s="17">
        <v>1.6</v>
      </c>
      <c r="T26" s="20">
        <v>1.4</v>
      </c>
      <c r="U26" s="23">
        <v>1.8</v>
      </c>
      <c r="V26" s="17">
        <v>1.8</v>
      </c>
      <c r="W26" s="20">
        <v>1.6</v>
      </c>
      <c r="X26" s="23">
        <v>2</v>
      </c>
      <c r="Y26" s="17">
        <v>1.8</v>
      </c>
      <c r="Z26" s="20">
        <v>1.8</v>
      </c>
      <c r="AB26" s="42"/>
      <c r="AC26" s="205" t="s">
        <v>57</v>
      </c>
      <c r="AD26" s="206"/>
      <c r="AE26" s="206"/>
      <c r="AF26" s="207"/>
    </row>
    <row r="27" spans="1:32" ht="40.9" customHeight="1" thickBot="1" x14ac:dyDescent="0.4">
      <c r="A27" s="4"/>
      <c r="B27" s="172" t="s">
        <v>58</v>
      </c>
      <c r="C27" s="177"/>
      <c r="D27" s="177"/>
      <c r="E27" s="178"/>
      <c r="F27" s="175"/>
      <c r="G27" s="7"/>
      <c r="H27" s="7"/>
      <c r="I27" s="7"/>
      <c r="J27" s="7"/>
      <c r="K27" s="27"/>
      <c r="L27" s="208" t="s">
        <v>21</v>
      </c>
      <c r="M27" s="209"/>
      <c r="N27" s="209"/>
      <c r="O27" s="210"/>
      <c r="Q27" s="124">
        <v>1.2</v>
      </c>
      <c r="R27" s="16">
        <v>1.6</v>
      </c>
      <c r="S27" s="18">
        <v>1.4</v>
      </c>
      <c r="T27" s="21">
        <v>1.4</v>
      </c>
      <c r="U27" s="24">
        <v>1.8</v>
      </c>
      <c r="V27" s="18">
        <v>1.6</v>
      </c>
      <c r="W27" s="21">
        <v>1.6</v>
      </c>
      <c r="X27" s="24">
        <v>2</v>
      </c>
      <c r="Y27" s="18">
        <v>1.8</v>
      </c>
      <c r="Z27" s="21">
        <v>1.6</v>
      </c>
      <c r="AB27" s="27"/>
      <c r="AC27" s="43" t="s">
        <v>36</v>
      </c>
      <c r="AD27" s="44" t="s">
        <v>37</v>
      </c>
      <c r="AE27" s="43" t="s">
        <v>38</v>
      </c>
      <c r="AF27" s="43" t="s">
        <v>39</v>
      </c>
    </row>
    <row r="28" spans="1:32" ht="53" thickBot="1" x14ac:dyDescent="0.4">
      <c r="A28" s="4"/>
      <c r="B28" s="171" t="s">
        <v>59</v>
      </c>
      <c r="C28" s="177">
        <v>25</v>
      </c>
      <c r="D28" s="177">
        <v>32</v>
      </c>
      <c r="E28" s="177">
        <v>16</v>
      </c>
      <c r="F28" s="176"/>
      <c r="G28" s="7"/>
      <c r="H28" s="7"/>
      <c r="I28" s="7"/>
      <c r="J28" s="7"/>
      <c r="K28" s="28" t="s">
        <v>27</v>
      </c>
      <c r="L28" s="191" t="s">
        <v>28</v>
      </c>
      <c r="M28" s="191" t="s">
        <v>29</v>
      </c>
      <c r="N28" s="191" t="s">
        <v>30</v>
      </c>
      <c r="O28" s="29" t="s">
        <v>31</v>
      </c>
      <c r="U28" s="211" t="s">
        <v>55</v>
      </c>
      <c r="V28" s="212"/>
      <c r="W28" s="212"/>
      <c r="X28" s="213"/>
      <c r="AB28" s="219" t="s">
        <v>43</v>
      </c>
      <c r="AC28" s="45" t="s">
        <v>60</v>
      </c>
      <c r="AD28" s="53" t="s">
        <v>61</v>
      </c>
      <c r="AE28" s="53" t="s">
        <v>61</v>
      </c>
      <c r="AF28" s="53" t="s">
        <v>61</v>
      </c>
    </row>
    <row r="29" spans="1:32" ht="15" customHeight="1" thickBot="1" x14ac:dyDescent="0.4">
      <c r="A29" s="4"/>
      <c r="B29" s="172" t="s">
        <v>62</v>
      </c>
      <c r="C29" s="177">
        <v>25</v>
      </c>
      <c r="D29" s="177">
        <v>25</v>
      </c>
      <c r="E29" s="178"/>
      <c r="F29" s="175">
        <v>3.6</v>
      </c>
      <c r="G29" s="7"/>
      <c r="H29" s="7"/>
      <c r="I29" s="7"/>
      <c r="J29" s="7"/>
      <c r="K29" s="35">
        <v>0.8</v>
      </c>
      <c r="L29" s="36">
        <v>25</v>
      </c>
      <c r="M29" s="36">
        <v>25</v>
      </c>
      <c r="N29" s="36">
        <v>25</v>
      </c>
      <c r="O29" s="37">
        <v>6</v>
      </c>
      <c r="Q29" s="8"/>
      <c r="R29" s="205" t="s">
        <v>22</v>
      </c>
      <c r="S29" s="206"/>
      <c r="T29" s="207"/>
      <c r="U29" s="205" t="s">
        <v>23</v>
      </c>
      <c r="V29" s="206"/>
      <c r="W29" s="207"/>
      <c r="X29" s="205" t="s">
        <v>24</v>
      </c>
      <c r="Y29" s="206"/>
      <c r="Z29" s="207"/>
      <c r="AB29" s="217"/>
      <c r="AC29" s="47" t="s">
        <v>63</v>
      </c>
      <c r="AD29" s="54" t="s">
        <v>64</v>
      </c>
      <c r="AE29" s="54" t="s">
        <v>64</v>
      </c>
      <c r="AF29" s="54" t="s">
        <v>64</v>
      </c>
    </row>
    <row r="30" spans="1:32" ht="21.5" thickBot="1" x14ac:dyDescent="0.4">
      <c r="A30" s="4"/>
      <c r="B30" s="172" t="s">
        <v>65</v>
      </c>
      <c r="C30" s="177"/>
      <c r="D30" s="177"/>
      <c r="E30" s="177"/>
      <c r="F30" s="176"/>
      <c r="G30" s="7"/>
      <c r="H30" s="7"/>
      <c r="I30" s="7"/>
      <c r="J30" s="7"/>
      <c r="K30" s="35">
        <v>1.1000000000000001</v>
      </c>
      <c r="L30" s="36">
        <v>25</v>
      </c>
      <c r="M30" s="36">
        <v>25</v>
      </c>
      <c r="N30" s="196">
        <v>25</v>
      </c>
      <c r="O30" s="37">
        <v>6</v>
      </c>
      <c r="Q30" s="9" t="s">
        <v>32</v>
      </c>
      <c r="R30" s="10" t="s">
        <v>33</v>
      </c>
      <c r="S30" s="11" t="s">
        <v>34</v>
      </c>
      <c r="T30" s="11" t="s">
        <v>35</v>
      </c>
      <c r="U30" s="10" t="s">
        <v>33</v>
      </c>
      <c r="V30" s="11" t="s">
        <v>34</v>
      </c>
      <c r="W30" s="11" t="s">
        <v>35</v>
      </c>
      <c r="X30" s="10" t="s">
        <v>33</v>
      </c>
      <c r="Y30" s="11" t="s">
        <v>34</v>
      </c>
      <c r="Z30" s="12" t="s">
        <v>35</v>
      </c>
      <c r="AB30" s="219" t="s">
        <v>50</v>
      </c>
      <c r="AC30" s="55" t="s">
        <v>66</v>
      </c>
      <c r="AD30" s="56" t="s">
        <v>67</v>
      </c>
      <c r="AE30" s="56" t="s">
        <v>67</v>
      </c>
      <c r="AF30" s="56" t="s">
        <v>67</v>
      </c>
    </row>
    <row r="31" spans="1:32" ht="21.5" thickBot="1" x14ac:dyDescent="0.4">
      <c r="A31" s="4"/>
      <c r="B31" s="172" t="s">
        <v>68</v>
      </c>
      <c r="C31" s="177"/>
      <c r="D31" s="177"/>
      <c r="E31" s="178"/>
      <c r="F31" s="175"/>
      <c r="G31" s="7"/>
      <c r="H31" s="7"/>
      <c r="I31" s="7"/>
      <c r="J31" s="7"/>
      <c r="K31" s="35">
        <v>1.5</v>
      </c>
      <c r="L31" s="36">
        <v>25</v>
      </c>
      <c r="M31" s="36">
        <v>25</v>
      </c>
      <c r="N31" s="36">
        <v>32</v>
      </c>
      <c r="O31" s="37">
        <v>6</v>
      </c>
      <c r="Q31" s="13" t="s">
        <v>41</v>
      </c>
      <c r="R31" s="225" t="s">
        <v>42</v>
      </c>
      <c r="S31" s="223"/>
      <c r="T31" s="223"/>
      <c r="U31" s="223"/>
      <c r="V31" s="223"/>
      <c r="W31" s="223"/>
      <c r="X31" s="223"/>
      <c r="Y31" s="223"/>
      <c r="Z31" s="224"/>
      <c r="AB31" s="216"/>
      <c r="AC31" s="55" t="s">
        <v>69</v>
      </c>
      <c r="AD31" s="56" t="s">
        <v>70</v>
      </c>
      <c r="AE31" s="56" t="s">
        <v>70</v>
      </c>
      <c r="AF31" s="56" t="s">
        <v>70</v>
      </c>
    </row>
    <row r="32" spans="1:32" ht="21.5" thickBot="1" x14ac:dyDescent="0.4">
      <c r="A32" s="4"/>
      <c r="B32" s="172" t="s">
        <v>71</v>
      </c>
      <c r="C32" s="177"/>
      <c r="D32" s="177"/>
      <c r="E32" s="177"/>
      <c r="F32" s="176"/>
      <c r="G32" s="7"/>
      <c r="J32" s="7"/>
      <c r="K32" s="194">
        <v>2.6</v>
      </c>
      <c r="L32" s="197">
        <v>40</v>
      </c>
      <c r="M32" s="193">
        <v>32</v>
      </c>
      <c r="N32" s="193">
        <v>40</v>
      </c>
      <c r="O32" s="198">
        <v>3</v>
      </c>
      <c r="Q32" s="49">
        <v>0.2</v>
      </c>
      <c r="R32" s="139">
        <v>1.6</v>
      </c>
      <c r="S32" s="139">
        <v>1.6</v>
      </c>
      <c r="T32" s="143">
        <v>1.6</v>
      </c>
      <c r="U32" s="144">
        <v>1.8</v>
      </c>
      <c r="V32" s="139">
        <v>1.8</v>
      </c>
      <c r="W32" s="146">
        <v>1.8</v>
      </c>
      <c r="X32" s="144">
        <v>2.2000000000000002</v>
      </c>
      <c r="Y32" s="155">
        <v>2.2000000000000002</v>
      </c>
      <c r="Z32" s="156">
        <v>2</v>
      </c>
      <c r="AB32" s="216"/>
      <c r="AC32" s="55" t="s">
        <v>72</v>
      </c>
      <c r="AD32" s="56" t="s">
        <v>73</v>
      </c>
      <c r="AE32" s="56" t="s">
        <v>73</v>
      </c>
      <c r="AF32" s="56" t="s">
        <v>73</v>
      </c>
    </row>
    <row r="33" spans="1:32" ht="21.5" thickBot="1" x14ac:dyDescent="0.4">
      <c r="A33" s="4"/>
      <c r="B33" s="172" t="s">
        <v>74</v>
      </c>
      <c r="C33" s="177"/>
      <c r="D33" s="177"/>
      <c r="E33" s="178"/>
      <c r="F33" s="175"/>
      <c r="G33" s="7"/>
      <c r="H33" s="7"/>
      <c r="I33" s="7"/>
      <c r="K33" s="38"/>
      <c r="L33" s="39"/>
      <c r="M33" s="39"/>
      <c r="N33" s="39"/>
      <c r="O33" s="40"/>
      <c r="Q33" s="141">
        <v>0.4</v>
      </c>
      <c r="R33" s="140">
        <v>1.6</v>
      </c>
      <c r="S33" s="147">
        <v>1.6</v>
      </c>
      <c r="T33" s="148">
        <v>1.6</v>
      </c>
      <c r="U33" s="145">
        <v>1.8</v>
      </c>
      <c r="V33" s="147">
        <v>1.8</v>
      </c>
      <c r="W33" s="148">
        <v>1.6</v>
      </c>
      <c r="X33" s="153">
        <v>2.2000000000000002</v>
      </c>
      <c r="Y33" s="147">
        <v>2</v>
      </c>
      <c r="Z33" s="148">
        <v>1.8</v>
      </c>
      <c r="AB33" s="216"/>
      <c r="AC33" s="57" t="s">
        <v>75</v>
      </c>
      <c r="AD33" s="54" t="s">
        <v>76</v>
      </c>
      <c r="AE33" s="54" t="s">
        <v>76</v>
      </c>
      <c r="AF33" s="54" t="s">
        <v>76</v>
      </c>
    </row>
    <row r="34" spans="1:32" ht="21.5" thickBot="1" x14ac:dyDescent="0.4">
      <c r="A34" s="4"/>
      <c r="B34" s="172" t="s">
        <v>77</v>
      </c>
      <c r="C34" s="177"/>
      <c r="D34" s="177"/>
      <c r="E34" s="177"/>
      <c r="F34" s="176"/>
      <c r="G34" s="7"/>
      <c r="H34" s="41"/>
      <c r="I34" s="41"/>
      <c r="L34" s="211" t="s">
        <v>78</v>
      </c>
      <c r="M34" s="212"/>
      <c r="N34" s="212"/>
      <c r="O34" s="213"/>
      <c r="Q34" s="141">
        <v>0.6</v>
      </c>
      <c r="R34" s="151">
        <v>1.6</v>
      </c>
      <c r="S34" s="147">
        <v>1.4</v>
      </c>
      <c r="T34" s="148">
        <v>1.4</v>
      </c>
      <c r="U34" s="153">
        <v>1.8</v>
      </c>
      <c r="V34" s="147">
        <v>1.6</v>
      </c>
      <c r="W34" s="148">
        <v>1.6</v>
      </c>
      <c r="X34" s="153">
        <v>2</v>
      </c>
      <c r="Y34" s="147">
        <v>1.8</v>
      </c>
      <c r="Z34" s="148">
        <v>1.6</v>
      </c>
      <c r="AB34" s="216"/>
      <c r="AC34" s="57" t="s">
        <v>79</v>
      </c>
      <c r="AD34" s="54" t="s">
        <v>80</v>
      </c>
      <c r="AE34" s="54" t="s">
        <v>80</v>
      </c>
      <c r="AF34" s="54" t="s">
        <v>80</v>
      </c>
    </row>
    <row r="35" spans="1:32" ht="38.15" customHeight="1" thickBot="1" x14ac:dyDescent="0.4">
      <c r="A35" s="4"/>
      <c r="B35" s="173" t="s">
        <v>81</v>
      </c>
      <c r="C35" s="177"/>
      <c r="D35" s="177"/>
      <c r="E35" s="179"/>
      <c r="F35" s="175"/>
      <c r="H35" s="7"/>
      <c r="I35" s="7"/>
      <c r="K35" s="42"/>
      <c r="L35" s="208" t="s">
        <v>21</v>
      </c>
      <c r="M35" s="209"/>
      <c r="N35" s="209"/>
      <c r="O35" s="210"/>
      <c r="Q35" s="141">
        <v>0.8</v>
      </c>
      <c r="R35" s="151">
        <v>1.4</v>
      </c>
      <c r="S35" s="147">
        <v>1.4</v>
      </c>
      <c r="T35" s="148">
        <v>1.2</v>
      </c>
      <c r="U35" s="153">
        <v>1.6</v>
      </c>
      <c r="V35" s="147">
        <v>1.4</v>
      </c>
      <c r="W35" s="148">
        <v>1.4</v>
      </c>
      <c r="X35" s="153">
        <v>1.8</v>
      </c>
      <c r="Y35" s="147">
        <v>1.6</v>
      </c>
      <c r="Z35" s="148">
        <v>1.6</v>
      </c>
      <c r="AB35" s="217"/>
      <c r="AC35" s="57" t="s">
        <v>82</v>
      </c>
      <c r="AD35" s="54" t="s">
        <v>83</v>
      </c>
      <c r="AE35" s="54" t="s">
        <v>83</v>
      </c>
      <c r="AF35" s="54" t="s">
        <v>83</v>
      </c>
    </row>
    <row r="36" spans="1:32" ht="53" thickBot="1" x14ac:dyDescent="0.4">
      <c r="A36" s="4"/>
      <c r="B36" s="4"/>
      <c r="C36" s="4"/>
      <c r="D36" s="4"/>
      <c r="E36" s="4"/>
      <c r="F36" s="4"/>
      <c r="K36" s="192" t="s">
        <v>27</v>
      </c>
      <c r="L36" s="191" t="s">
        <v>28</v>
      </c>
      <c r="M36" s="191" t="s">
        <v>29</v>
      </c>
      <c r="N36" s="191" t="s">
        <v>30</v>
      </c>
      <c r="O36" s="29" t="s">
        <v>31</v>
      </c>
      <c r="Q36" s="142" t="s">
        <v>56</v>
      </c>
      <c r="R36" s="151">
        <v>1.4</v>
      </c>
      <c r="S36" s="147">
        <v>1.2</v>
      </c>
      <c r="T36" s="148">
        <v>1.2</v>
      </c>
      <c r="U36" s="153">
        <v>1.4</v>
      </c>
      <c r="V36" s="147">
        <v>1.4</v>
      </c>
      <c r="W36" s="148">
        <v>1.2</v>
      </c>
      <c r="X36" s="153">
        <v>1.6</v>
      </c>
      <c r="Y36" s="147">
        <v>1.4</v>
      </c>
      <c r="Z36" s="148">
        <v>1.4</v>
      </c>
      <c r="AC36" s="51"/>
      <c r="AD36" s="52"/>
      <c r="AE36" s="52"/>
      <c r="AF36" s="52"/>
    </row>
    <row r="37" spans="1:32" ht="15" thickBot="1" x14ac:dyDescent="0.4">
      <c r="A37" s="4"/>
      <c r="B37" s="5" t="s">
        <v>84</v>
      </c>
      <c r="C37" s="6">
        <v>0.31</v>
      </c>
      <c r="D37" s="125" t="s">
        <v>85</v>
      </c>
      <c r="E37" s="126"/>
      <c r="F37" s="126"/>
      <c r="G37" s="127"/>
      <c r="J37" s="4"/>
      <c r="K37" s="35">
        <v>0.8</v>
      </c>
      <c r="L37" s="36">
        <v>25</v>
      </c>
      <c r="M37" s="36">
        <v>25</v>
      </c>
      <c r="N37" s="36">
        <v>25</v>
      </c>
      <c r="O37" s="37">
        <v>6</v>
      </c>
      <c r="Q37" s="47">
        <v>1.2</v>
      </c>
      <c r="R37" s="152">
        <v>1.2</v>
      </c>
      <c r="S37" s="149">
        <v>1.2</v>
      </c>
      <c r="T37" s="150">
        <v>1</v>
      </c>
      <c r="U37" s="154">
        <v>1.4</v>
      </c>
      <c r="V37" s="149">
        <v>1.2</v>
      </c>
      <c r="W37" s="150">
        <v>1.2</v>
      </c>
      <c r="X37" s="154">
        <v>1.6</v>
      </c>
      <c r="Y37" s="149">
        <v>1.4</v>
      </c>
      <c r="Z37" s="150">
        <v>1.4</v>
      </c>
      <c r="AB37" s="4"/>
      <c r="AC37" s="4"/>
      <c r="AD37" s="4"/>
      <c r="AE37" s="4"/>
      <c r="AF37" s="4"/>
    </row>
    <row r="38" spans="1:32" ht="27.25" customHeight="1" thickBot="1" x14ac:dyDescent="0.4">
      <c r="A38" s="4"/>
      <c r="B38" s="4"/>
      <c r="C38" s="3"/>
      <c r="D38" s="31" t="s">
        <v>86</v>
      </c>
      <c r="E38" s="31" t="s">
        <v>87</v>
      </c>
      <c r="F38" s="31" t="s">
        <v>88</v>
      </c>
      <c r="G38" s="32" t="s">
        <v>89</v>
      </c>
      <c r="J38" s="4"/>
      <c r="K38" s="35">
        <v>1.1000000000000001</v>
      </c>
      <c r="L38" s="36">
        <v>25</v>
      </c>
      <c r="M38" s="36">
        <v>25</v>
      </c>
      <c r="N38" s="36">
        <v>25</v>
      </c>
      <c r="O38" s="37">
        <v>6</v>
      </c>
      <c r="AB38" s="219" t="s">
        <v>43</v>
      </c>
      <c r="AC38" s="205" t="s">
        <v>90</v>
      </c>
      <c r="AD38" s="214"/>
      <c r="AE38" s="214"/>
      <c r="AF38" s="215"/>
    </row>
    <row r="39" spans="1:32" ht="47.65" customHeight="1" thickBot="1" x14ac:dyDescent="0.4">
      <c r="B39" s="5" t="s">
        <v>91</v>
      </c>
      <c r="C39" s="58">
        <v>0.5</v>
      </c>
      <c r="D39" s="6">
        <v>25</v>
      </c>
      <c r="E39" s="6">
        <v>25</v>
      </c>
      <c r="F39" s="6">
        <v>25</v>
      </c>
      <c r="G39" s="6">
        <v>6</v>
      </c>
      <c r="K39" s="35">
        <v>1.5</v>
      </c>
      <c r="L39" s="36">
        <v>25</v>
      </c>
      <c r="M39" s="36">
        <v>25</v>
      </c>
      <c r="N39" s="36">
        <v>32</v>
      </c>
      <c r="O39" s="37">
        <v>6</v>
      </c>
      <c r="S39" s="211" t="s">
        <v>78</v>
      </c>
      <c r="T39" s="212"/>
      <c r="U39" s="212"/>
      <c r="V39" s="213"/>
      <c r="AB39" s="217"/>
      <c r="AC39" s="43" t="s">
        <v>36</v>
      </c>
      <c r="AD39" s="44" t="s">
        <v>37</v>
      </c>
      <c r="AE39" s="43" t="s">
        <v>38</v>
      </c>
      <c r="AF39" s="43" t="s">
        <v>39</v>
      </c>
    </row>
    <row r="40" spans="1:32" ht="28" customHeight="1" thickBot="1" x14ac:dyDescent="0.4">
      <c r="A40" s="4"/>
      <c r="B40" s="33" t="s">
        <v>92</v>
      </c>
      <c r="C40" s="33"/>
      <c r="D40" s="30" t="str">
        <f>'Lifting Calculation'!H25</f>
        <v>OK</v>
      </c>
      <c r="E40" s="30" t="str">
        <f>'Lifting Calculation'!I25</f>
        <v>OK</v>
      </c>
      <c r="F40" s="30" t="str">
        <f>'Lifting Calculation'!D175</f>
        <v>OK</v>
      </c>
      <c r="G40" s="34"/>
      <c r="J40" s="4"/>
      <c r="K40" s="194">
        <v>2.6</v>
      </c>
      <c r="L40" s="199">
        <v>40</v>
      </c>
      <c r="M40" s="193">
        <v>32</v>
      </c>
      <c r="N40" s="193">
        <v>40</v>
      </c>
      <c r="O40" s="198">
        <v>3</v>
      </c>
      <c r="Q40" s="8"/>
      <c r="R40" s="218" t="s">
        <v>23</v>
      </c>
      <c r="S40" s="218"/>
      <c r="T40" s="218"/>
      <c r="U40" s="218" t="s">
        <v>24</v>
      </c>
      <c r="V40" s="218"/>
      <c r="W40" s="218"/>
      <c r="AB40" s="216" t="s">
        <v>50</v>
      </c>
      <c r="AC40" s="45" t="s">
        <v>44</v>
      </c>
      <c r="AD40" s="46" t="s">
        <v>45</v>
      </c>
      <c r="AE40" s="46" t="s">
        <v>45</v>
      </c>
      <c r="AF40" s="46" t="s">
        <v>45</v>
      </c>
    </row>
    <row r="41" spans="1:32" ht="38.15" customHeight="1" thickBot="1" x14ac:dyDescent="0.4">
      <c r="B41" s="4"/>
      <c r="C41" s="3"/>
      <c r="D41" s="4"/>
      <c r="E41" s="4"/>
      <c r="F41" t="s">
        <v>93</v>
      </c>
      <c r="J41" s="4"/>
      <c r="K41" s="4"/>
      <c r="L41" s="4"/>
      <c r="M41" s="4"/>
      <c r="N41" s="4"/>
      <c r="O41" s="4"/>
      <c r="Q41" s="9" t="s">
        <v>32</v>
      </c>
      <c r="R41" s="10" t="s">
        <v>33</v>
      </c>
      <c r="S41" s="11" t="s">
        <v>34</v>
      </c>
      <c r="T41" s="11" t="s">
        <v>35</v>
      </c>
      <c r="U41" s="10" t="s">
        <v>33</v>
      </c>
      <c r="V41" s="11" t="s">
        <v>34</v>
      </c>
      <c r="W41" s="12" t="s">
        <v>35</v>
      </c>
      <c r="AB41" s="217"/>
      <c r="AC41" s="47" t="s">
        <v>47</v>
      </c>
      <c r="AD41" s="48" t="s">
        <v>48</v>
      </c>
      <c r="AE41" s="48" t="s">
        <v>48</v>
      </c>
      <c r="AF41" s="48" t="s">
        <v>48</v>
      </c>
    </row>
    <row r="42" spans="1:32" ht="39.4" customHeight="1" thickBot="1" x14ac:dyDescent="0.4">
      <c r="B42" s="4"/>
      <c r="C42" s="4"/>
      <c r="D42" s="4"/>
      <c r="F42" t="s">
        <v>94</v>
      </c>
      <c r="H42" s="157"/>
      <c r="I42" s="157"/>
      <c r="J42" s="4"/>
      <c r="L42" s="211" t="s">
        <v>95</v>
      </c>
      <c r="M42" s="212"/>
      <c r="N42" s="212"/>
      <c r="O42" s="213"/>
      <c r="Q42" s="13" t="s">
        <v>41</v>
      </c>
      <c r="R42" s="223" t="s">
        <v>96</v>
      </c>
      <c r="S42" s="223"/>
      <c r="T42" s="223"/>
      <c r="U42" s="223"/>
      <c r="V42" s="223"/>
      <c r="W42" s="224"/>
      <c r="AC42" s="49" t="s">
        <v>44</v>
      </c>
      <c r="AD42" s="50" t="s">
        <v>45</v>
      </c>
      <c r="AE42" s="50" t="s">
        <v>45</v>
      </c>
      <c r="AF42" s="50" t="s">
        <v>45</v>
      </c>
    </row>
    <row r="43" spans="1:32" ht="15" customHeight="1" thickBot="1" x14ac:dyDescent="0.4">
      <c r="B43" s="1" t="s">
        <v>97</v>
      </c>
      <c r="C43" s="2">
        <f>'Lifting Calculation'!G24</f>
        <v>3</v>
      </c>
      <c r="E43" s="4"/>
      <c r="F43" t="s">
        <v>98</v>
      </c>
      <c r="G43" s="157"/>
      <c r="H43" s="63"/>
      <c r="I43" s="157"/>
      <c r="J43" s="4"/>
      <c r="K43" s="27" t="s">
        <v>99</v>
      </c>
      <c r="L43" s="220" t="s">
        <v>21</v>
      </c>
      <c r="M43" s="221"/>
      <c r="N43" s="221"/>
      <c r="O43" s="222"/>
      <c r="Q43" s="121">
        <v>0.2</v>
      </c>
      <c r="R43" s="22">
        <v>2</v>
      </c>
      <c r="S43" s="14">
        <v>2</v>
      </c>
      <c r="T43" s="25">
        <v>1.8</v>
      </c>
      <c r="U43" s="137">
        <v>2.2000000000000002</v>
      </c>
      <c r="V43" s="14">
        <v>2</v>
      </c>
      <c r="W43" s="25">
        <v>2</v>
      </c>
      <c r="AC43" s="47" t="s">
        <v>47</v>
      </c>
      <c r="AD43" s="48" t="s">
        <v>52</v>
      </c>
      <c r="AE43" s="48" t="s">
        <v>52</v>
      </c>
      <c r="AF43" s="48" t="s">
        <v>52</v>
      </c>
    </row>
    <row r="44" spans="1:32" ht="52.5" x14ac:dyDescent="0.35">
      <c r="B44" s="4"/>
      <c r="C44" s="4"/>
      <c r="D44" s="4"/>
      <c r="E44" s="4"/>
      <c r="F44" s="4"/>
      <c r="J44" s="4"/>
      <c r="K44" s="28" t="s">
        <v>27</v>
      </c>
      <c r="L44" s="191" t="s">
        <v>28</v>
      </c>
      <c r="M44" s="191" t="s">
        <v>29</v>
      </c>
      <c r="N44" s="191" t="s">
        <v>30</v>
      </c>
      <c r="O44" s="29" t="s">
        <v>31</v>
      </c>
      <c r="Q44" s="122">
        <v>0.4</v>
      </c>
      <c r="R44" s="23">
        <v>1.8</v>
      </c>
      <c r="S44" s="17">
        <v>1.6</v>
      </c>
      <c r="T44" s="20">
        <v>1.6</v>
      </c>
      <c r="U44" s="23">
        <v>2</v>
      </c>
      <c r="V44" s="17">
        <v>1.8</v>
      </c>
      <c r="W44" s="20">
        <v>1.6</v>
      </c>
    </row>
    <row r="45" spans="1:32" ht="15" thickBot="1" x14ac:dyDescent="0.4">
      <c r="B45" t="s">
        <v>100</v>
      </c>
      <c r="E45" s="4"/>
      <c r="F45" s="4" t="s">
        <v>101</v>
      </c>
      <c r="J45" s="4"/>
      <c r="K45" s="35">
        <v>0.8</v>
      </c>
      <c r="L45" s="36">
        <v>25</v>
      </c>
      <c r="M45" s="36">
        <v>25</v>
      </c>
      <c r="N45" s="36">
        <v>25</v>
      </c>
      <c r="O45" s="37">
        <v>6</v>
      </c>
      <c r="Q45" s="122">
        <v>0.6</v>
      </c>
      <c r="R45" s="23">
        <v>1.6</v>
      </c>
      <c r="S45" s="17">
        <v>1.4</v>
      </c>
      <c r="T45" s="20">
        <v>1.4</v>
      </c>
      <c r="U45" s="23">
        <v>1.6</v>
      </c>
      <c r="V45" s="17">
        <v>1.6</v>
      </c>
      <c r="W45" s="20">
        <v>1.4</v>
      </c>
    </row>
    <row r="46" spans="1:32" x14ac:dyDescent="0.35">
      <c r="B46" s="180" t="s">
        <v>102</v>
      </c>
      <c r="C46" s="182">
        <v>60</v>
      </c>
      <c r="F46" s="4" t="s">
        <v>103</v>
      </c>
      <c r="K46" s="35">
        <v>1.1000000000000001</v>
      </c>
      <c r="L46" s="36">
        <v>25</v>
      </c>
      <c r="M46" s="36">
        <v>25</v>
      </c>
      <c r="N46" s="36">
        <v>25</v>
      </c>
      <c r="O46" s="37">
        <v>6</v>
      </c>
      <c r="Q46" s="122">
        <v>0.8</v>
      </c>
      <c r="R46" s="23">
        <v>1.4</v>
      </c>
      <c r="S46" s="17">
        <v>1.2</v>
      </c>
      <c r="T46" s="20">
        <v>1.2</v>
      </c>
      <c r="U46" s="23">
        <v>1.6</v>
      </c>
      <c r="V46" s="17">
        <v>1.4</v>
      </c>
      <c r="W46" s="20">
        <v>1.4</v>
      </c>
    </row>
    <row r="47" spans="1:32" x14ac:dyDescent="0.35">
      <c r="B47" s="187" t="s">
        <v>104</v>
      </c>
      <c r="C47" s="188">
        <v>60</v>
      </c>
      <c r="E47" s="4"/>
      <c r="F47" s="4" t="s">
        <v>105</v>
      </c>
      <c r="K47" s="35">
        <v>1.5</v>
      </c>
      <c r="L47" s="36">
        <v>25</v>
      </c>
      <c r="M47" s="36">
        <v>25</v>
      </c>
      <c r="N47" s="36">
        <v>25</v>
      </c>
      <c r="O47" s="37">
        <v>6</v>
      </c>
      <c r="Q47" s="123" t="s">
        <v>56</v>
      </c>
      <c r="R47" s="23">
        <v>1.2</v>
      </c>
      <c r="S47" s="17">
        <v>1.2</v>
      </c>
      <c r="T47" s="20">
        <v>1</v>
      </c>
      <c r="U47" s="23">
        <v>1.4</v>
      </c>
      <c r="V47" s="17">
        <v>1.2</v>
      </c>
      <c r="W47" s="20">
        <v>1.2</v>
      </c>
    </row>
    <row r="48" spans="1:32" ht="15" thickBot="1" x14ac:dyDescent="0.4">
      <c r="B48" s="181" t="s">
        <v>106</v>
      </c>
      <c r="C48" s="183">
        <v>16</v>
      </c>
      <c r="F48" s="4" t="s">
        <v>107</v>
      </c>
      <c r="K48" s="194">
        <v>2.6</v>
      </c>
      <c r="L48" s="193">
        <v>32</v>
      </c>
      <c r="M48" s="199">
        <v>32</v>
      </c>
      <c r="N48" s="193">
        <v>40</v>
      </c>
      <c r="O48" s="198">
        <v>4</v>
      </c>
      <c r="Q48" s="124">
        <v>1.2</v>
      </c>
      <c r="R48" s="24">
        <v>1.2</v>
      </c>
      <c r="S48" s="18">
        <v>1</v>
      </c>
      <c r="T48" s="21">
        <v>1</v>
      </c>
      <c r="U48" s="24">
        <v>1.2</v>
      </c>
      <c r="V48" s="18">
        <v>1.2</v>
      </c>
      <c r="W48" s="21">
        <v>1.2</v>
      </c>
    </row>
    <row r="49" spans="2:23" x14ac:dyDescent="0.35">
      <c r="B49" s="185"/>
      <c r="C49" s="186"/>
      <c r="F49" s="4" t="s">
        <v>108</v>
      </c>
    </row>
    <row r="50" spans="2:23" ht="15" thickBot="1" x14ac:dyDescent="0.4">
      <c r="F50" s="4" t="s">
        <v>109</v>
      </c>
    </row>
    <row r="51" spans="2:23" ht="15" thickBot="1" x14ac:dyDescent="0.4">
      <c r="S51" s="211" t="s">
        <v>95</v>
      </c>
      <c r="T51" s="212"/>
      <c r="U51" s="212"/>
      <c r="V51" s="213"/>
    </row>
    <row r="52" spans="2:23" ht="15" thickBot="1" x14ac:dyDescent="0.4">
      <c r="Q52" s="8"/>
      <c r="R52" s="218" t="s">
        <v>23</v>
      </c>
      <c r="S52" s="218"/>
      <c r="T52" s="218"/>
      <c r="U52" s="218" t="s">
        <v>24</v>
      </c>
      <c r="V52" s="218"/>
      <c r="W52" s="218"/>
    </row>
    <row r="53" spans="2:23" ht="15" thickBot="1" x14ac:dyDescent="0.4">
      <c r="Q53" s="9" t="s">
        <v>32</v>
      </c>
      <c r="R53" s="10" t="s">
        <v>33</v>
      </c>
      <c r="S53" s="11" t="s">
        <v>34</v>
      </c>
      <c r="T53" s="11" t="s">
        <v>35</v>
      </c>
      <c r="U53" s="10" t="s">
        <v>33</v>
      </c>
      <c r="V53" s="11" t="s">
        <v>34</v>
      </c>
      <c r="W53" s="12" t="s">
        <v>35</v>
      </c>
    </row>
    <row r="54" spans="2:23" ht="21.5" thickBot="1" x14ac:dyDescent="0.4">
      <c r="Q54" s="13" t="s">
        <v>41</v>
      </c>
      <c r="R54" s="223" t="s">
        <v>96</v>
      </c>
      <c r="S54" s="223"/>
      <c r="T54" s="223"/>
      <c r="U54" s="223"/>
      <c r="V54" s="223"/>
      <c r="W54" s="224"/>
    </row>
    <row r="55" spans="2:23" x14ac:dyDescent="0.35">
      <c r="Q55" s="121">
        <v>0.2</v>
      </c>
      <c r="R55" s="22">
        <v>2</v>
      </c>
      <c r="S55" s="14">
        <v>1.8</v>
      </c>
      <c r="T55" s="25">
        <v>1.6</v>
      </c>
      <c r="U55" s="137">
        <v>2.2000000000000002</v>
      </c>
      <c r="V55" s="14">
        <v>2</v>
      </c>
      <c r="W55" s="25">
        <v>1.8</v>
      </c>
    </row>
    <row r="56" spans="2:23" x14ac:dyDescent="0.35">
      <c r="Q56" s="122">
        <v>0.4</v>
      </c>
      <c r="R56" s="23">
        <v>1.6</v>
      </c>
      <c r="S56" s="17">
        <v>1.4</v>
      </c>
      <c r="T56" s="20">
        <v>1.4</v>
      </c>
      <c r="U56" s="23">
        <v>1.8</v>
      </c>
      <c r="V56" s="17">
        <v>1.6</v>
      </c>
      <c r="W56" s="20">
        <v>1.6</v>
      </c>
    </row>
    <row r="57" spans="2:23" x14ac:dyDescent="0.35">
      <c r="Q57" s="122">
        <v>0.6</v>
      </c>
      <c r="R57" s="23">
        <v>1.4</v>
      </c>
      <c r="S57" s="17">
        <v>1.2</v>
      </c>
      <c r="T57" s="20">
        <v>1.2</v>
      </c>
      <c r="U57" s="23">
        <v>1.6</v>
      </c>
      <c r="V57" s="17">
        <v>1.4</v>
      </c>
      <c r="W57" s="20">
        <v>1.4</v>
      </c>
    </row>
    <row r="58" spans="2:23" x14ac:dyDescent="0.35">
      <c r="Q58" s="122">
        <v>0.8</v>
      </c>
      <c r="R58" s="23">
        <v>1.2</v>
      </c>
      <c r="S58" s="17">
        <v>1.2</v>
      </c>
      <c r="T58" s="20">
        <v>1</v>
      </c>
      <c r="U58" s="23">
        <v>1.4</v>
      </c>
      <c r="V58" s="17">
        <v>1.2</v>
      </c>
      <c r="W58" s="20">
        <v>1.2</v>
      </c>
    </row>
    <row r="59" spans="2:23" x14ac:dyDescent="0.35">
      <c r="Q59" s="123" t="s">
        <v>56</v>
      </c>
      <c r="R59" s="23">
        <v>1.2</v>
      </c>
      <c r="S59" s="17">
        <v>1</v>
      </c>
      <c r="T59" s="20">
        <v>1</v>
      </c>
      <c r="U59" s="23">
        <v>1.2</v>
      </c>
      <c r="V59" s="17">
        <v>1.2</v>
      </c>
      <c r="W59" s="20">
        <v>1</v>
      </c>
    </row>
    <row r="60" spans="2:23" ht="15" thickBot="1" x14ac:dyDescent="0.4">
      <c r="Q60" s="124">
        <v>1.2</v>
      </c>
      <c r="R60" s="24">
        <v>1</v>
      </c>
      <c r="S60" s="18">
        <v>1</v>
      </c>
      <c r="T60" s="21">
        <v>0.8</v>
      </c>
      <c r="U60" s="24">
        <v>1.2</v>
      </c>
      <c r="V60" s="18">
        <v>1</v>
      </c>
      <c r="W60" s="21">
        <v>1</v>
      </c>
    </row>
  </sheetData>
  <mergeCells count="35">
    <mergeCell ref="R54:W54"/>
    <mergeCell ref="U17:X17"/>
    <mergeCell ref="U28:X28"/>
    <mergeCell ref="S39:V39"/>
    <mergeCell ref="S51:V51"/>
    <mergeCell ref="R52:T52"/>
    <mergeCell ref="U52:W52"/>
    <mergeCell ref="R42:W42"/>
    <mergeCell ref="U29:W29"/>
    <mergeCell ref="R31:Z31"/>
    <mergeCell ref="R21:Z21"/>
    <mergeCell ref="X29:Z29"/>
    <mergeCell ref="R19:T19"/>
    <mergeCell ref="U19:W19"/>
    <mergeCell ref="X19:Z19"/>
    <mergeCell ref="R29:T29"/>
    <mergeCell ref="L18:O18"/>
    <mergeCell ref="L19:O19"/>
    <mergeCell ref="AC19:AF19"/>
    <mergeCell ref="AB21:AB22"/>
    <mergeCell ref="AB23:AB24"/>
    <mergeCell ref="L42:O42"/>
    <mergeCell ref="L43:O43"/>
    <mergeCell ref="L35:O35"/>
    <mergeCell ref="AB38:AB39"/>
    <mergeCell ref="L34:O34"/>
    <mergeCell ref="AB30:AB35"/>
    <mergeCell ref="AC26:AF26"/>
    <mergeCell ref="L27:O27"/>
    <mergeCell ref="L26:O26"/>
    <mergeCell ref="AC38:AF38"/>
    <mergeCell ref="AB40:AB41"/>
    <mergeCell ref="R40:T40"/>
    <mergeCell ref="U40:W40"/>
    <mergeCell ref="AB28:AB29"/>
  </mergeCells>
  <phoneticPr fontId="8" type="noConversion"/>
  <conditionalFormatting sqref="C40:G40 H36:I36">
    <cfRule type="beginsWith" dxfId="1" priority="1" operator="beginsWith" text="NOT">
      <formula>LEFT(C36,LEN("NOT"))="NOT"</formula>
    </cfRule>
    <cfRule type="beginsWith" dxfId="0" priority="2" operator="beginsWith" text="OK">
      <formula>LEFT(C36,LEN("OK"))="OK"</formula>
    </cfRule>
  </conditionalFormatting>
  <dataValidations count="1">
    <dataValidation type="list" allowBlank="1" showInputMessage="1" showErrorMessage="1" sqref="C36:D36" xr:uid="{7A5F1A29-EBC5-4610-8928-5C169663E985}">
      <formula1>Bar_Diameter</formula1>
    </dataValidation>
  </dataValidations>
  <pageMargins left="0.7" right="0.7" top="0.75" bottom="0.75" header="0.3" footer="0.3"/>
  <pageSetup paperSize="9" orientation="portrait" r:id="rId1"/>
  <headerFooter>
    <oddHeader>&amp;L&amp;"Century Gothic"&amp;10&amp;K000000 Business&amp;1#_x000D_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0BA131B-D958-4BBE-BE1C-05675412B0AD}">
          <x14:formula1>
            <xm:f>Lists!$B$3:$B$9</xm:f>
          </x14:formula1>
          <xm:sqref>G20:I20 C25:D27 C30:D35</xm:sqref>
        </x14:dataValidation>
        <x14:dataValidation type="list" allowBlank="1" showInputMessage="1" showErrorMessage="1" xr:uid="{522A122C-A04B-4CB8-8C4B-4F270E426158}">
          <x14:formula1>
            <xm:f>Lists!$K$4:$K$5</xm:f>
          </x14:formula1>
          <xm:sqref>G30:G32 G34 G21:I21 G23:I23 G25:I25 G27:I27 G29:I29 H31:I31</xm:sqref>
        </x14:dataValidation>
        <x14:dataValidation type="list" allowBlank="1" showInputMessage="1" showErrorMessage="1" xr:uid="{547FABF2-3419-44C3-8793-49FA6E9A9E50}">
          <x14:formula1>
            <xm:f>Lists!$E$3:$E$12</xm:f>
          </x14:formula1>
          <xm:sqref>G39 H35:I35</xm:sqref>
        </x14:dataValidation>
        <x14:dataValidation type="list" allowBlank="1" showInputMessage="1" showErrorMessage="1" xr:uid="{A904C3CC-9D39-424D-82FA-44AE6339112B}">
          <x14:formula1>
            <xm:f>Lists!$B$7:$B$9</xm:f>
          </x14:formula1>
          <xm:sqref>D39 F39</xm:sqref>
        </x14:dataValidation>
        <x14:dataValidation type="list" allowBlank="1" showInputMessage="1" showErrorMessage="1" xr:uid="{40063AFB-311C-4AE6-A8F6-6C4B48BE44E4}">
          <x14:formula1>
            <xm:f>Lists!$B$7:$B$8</xm:f>
          </x14:formula1>
          <xm:sqref>E39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EED0-5CA7-40D6-9A7B-DFFD06130CE8}">
  <sheetPr codeName="Sheet3"/>
  <dimension ref="A2:AE175"/>
  <sheetViews>
    <sheetView zoomScale="85" zoomScaleNormal="85" workbookViewId="0">
      <selection activeCell="A61" sqref="A61:A68"/>
    </sheetView>
  </sheetViews>
  <sheetFormatPr defaultRowHeight="14.5" x14ac:dyDescent="0.35"/>
  <cols>
    <col min="1" max="1" width="10.7265625" bestFit="1" customWidth="1"/>
    <col min="2" max="2" width="71.26953125" customWidth="1"/>
    <col min="3" max="3" width="25.7265625" customWidth="1"/>
    <col min="4" max="4" width="18.26953125" style="62" customWidth="1"/>
    <col min="5" max="5" width="22.26953125" customWidth="1"/>
    <col min="6" max="6" width="38.453125" customWidth="1"/>
    <col min="7" max="10" width="16.1796875" customWidth="1"/>
    <col min="11" max="11" width="20" customWidth="1"/>
    <col min="12" max="13" width="16.26953125" customWidth="1"/>
    <col min="14" max="14" width="14.453125" customWidth="1"/>
    <col min="15" max="15" width="9" customWidth="1"/>
    <col min="16" max="31" width="14.26953125" customWidth="1"/>
  </cols>
  <sheetData>
    <row r="2" spans="2:31" ht="17" thickBot="1" x14ac:dyDescent="0.4">
      <c r="N2" t="s">
        <v>110</v>
      </c>
      <c r="O2" s="63">
        <v>500</v>
      </c>
      <c r="P2" t="s">
        <v>111</v>
      </c>
      <c r="R2" t="s">
        <v>112</v>
      </c>
      <c r="T2" s="63">
        <v>435</v>
      </c>
      <c r="U2" t="s">
        <v>111</v>
      </c>
    </row>
    <row r="3" spans="2:31" ht="58.5" thickBot="1" x14ac:dyDescent="0.4">
      <c r="B3" s="64" t="s">
        <v>113</v>
      </c>
      <c r="C3" s="64" t="s">
        <v>114</v>
      </c>
      <c r="D3" s="65" t="s">
        <v>115</v>
      </c>
      <c r="F3" s="4"/>
      <c r="G3" s="66" t="s">
        <v>17</v>
      </c>
      <c r="H3" s="67" t="s">
        <v>18</v>
      </c>
      <c r="I3" s="68" t="s">
        <v>116</v>
      </c>
      <c r="J3" s="69" t="s">
        <v>20</v>
      </c>
      <c r="K3" s="70" t="s">
        <v>117</v>
      </c>
      <c r="L3" s="26" t="s">
        <v>118</v>
      </c>
      <c r="M3" s="26"/>
      <c r="O3" s="71">
        <v>1</v>
      </c>
      <c r="P3" s="71">
        <v>2</v>
      </c>
      <c r="Q3" s="71">
        <v>3</v>
      </c>
      <c r="R3" s="71">
        <v>4</v>
      </c>
      <c r="S3" s="71">
        <v>5</v>
      </c>
      <c r="T3" s="71">
        <v>6</v>
      </c>
      <c r="U3" s="71">
        <v>7</v>
      </c>
      <c r="V3" s="71">
        <v>8</v>
      </c>
      <c r="W3" s="71">
        <v>9</v>
      </c>
      <c r="X3" s="71">
        <v>10</v>
      </c>
      <c r="Y3" s="71">
        <v>11</v>
      </c>
      <c r="Z3" s="71">
        <v>12</v>
      </c>
      <c r="AA3" s="71">
        <v>13</v>
      </c>
      <c r="AB3" s="71">
        <v>14</v>
      </c>
      <c r="AC3" s="71">
        <v>15</v>
      </c>
      <c r="AD3" s="71">
        <v>16</v>
      </c>
      <c r="AE3" s="71">
        <v>17</v>
      </c>
    </row>
    <row r="4" spans="2:31" ht="44" thickBot="1" x14ac:dyDescent="0.4">
      <c r="B4" s="72" t="s">
        <v>119</v>
      </c>
      <c r="C4" s="73" t="s">
        <v>120</v>
      </c>
      <c r="D4" s="74">
        <f>I4</f>
        <v>16</v>
      </c>
      <c r="E4" t="e" cm="1">
        <f t="array" aca="1" ref="E4" ca="1">wrform(D4)</f>
        <v>#NAME?</v>
      </c>
      <c r="F4" s="75" t="s">
        <v>26</v>
      </c>
      <c r="G4" s="76">
        <f>'Span Lookup'!C20</f>
        <v>25</v>
      </c>
      <c r="H4" s="77">
        <f>'Span Lookup'!D20</f>
        <v>32</v>
      </c>
      <c r="I4" s="77">
        <f>'Span Lookup'!E20</f>
        <v>16</v>
      </c>
      <c r="J4" s="78">
        <f>'Span Lookup'!F20</f>
        <v>0</v>
      </c>
      <c r="K4" s="79"/>
      <c r="L4" s="7">
        <f>IF(G5=0,0,_xlfn.XLOOKUP(G4,Lists!$N$3:$N$9,Lists!$O$3:$O$9))</f>
        <v>29</v>
      </c>
      <c r="M4" s="7"/>
      <c r="O4" s="71" t="s">
        <v>121</v>
      </c>
      <c r="P4" s="71" t="s">
        <v>122</v>
      </c>
      <c r="Q4" s="71" t="s">
        <v>123</v>
      </c>
      <c r="R4" s="71" t="s">
        <v>124</v>
      </c>
      <c r="S4" s="71" t="s">
        <v>125</v>
      </c>
      <c r="T4" s="71" t="s">
        <v>126</v>
      </c>
      <c r="U4" s="71" t="s">
        <v>127</v>
      </c>
      <c r="V4" s="71" t="s">
        <v>128</v>
      </c>
      <c r="W4" s="71" t="s">
        <v>129</v>
      </c>
      <c r="X4" s="71" t="s">
        <v>130</v>
      </c>
      <c r="Y4" s="71" t="s">
        <v>131</v>
      </c>
      <c r="Z4" s="120" t="s">
        <v>132</v>
      </c>
      <c r="AA4" s="120" t="s">
        <v>133</v>
      </c>
      <c r="AB4" s="120" t="s">
        <v>134</v>
      </c>
      <c r="AC4" s="120" t="s">
        <v>135</v>
      </c>
      <c r="AD4" s="120" t="s">
        <v>136</v>
      </c>
      <c r="AE4" s="71" t="s">
        <v>137</v>
      </c>
    </row>
    <row r="5" spans="2:31" x14ac:dyDescent="0.35">
      <c r="B5" s="72" t="s">
        <v>138</v>
      </c>
      <c r="C5" s="73" t="s">
        <v>120</v>
      </c>
      <c r="D5" s="74">
        <f>I6</f>
        <v>0</v>
      </c>
      <c r="E5" t="e" cm="1">
        <f t="array" aca="1" ref="E5" ca="1">wrform(D5)</f>
        <v>#NAME?</v>
      </c>
      <c r="F5" s="80" t="s">
        <v>40</v>
      </c>
      <c r="G5" s="76">
        <f>'Span Lookup'!C21</f>
        <v>25</v>
      </c>
      <c r="H5" s="77">
        <f>'Span Lookup'!D21</f>
        <v>25</v>
      </c>
      <c r="I5" s="77">
        <f>'Span Lookup'!E21</f>
        <v>0</v>
      </c>
      <c r="J5" s="78">
        <f>'Span Lookup'!F21</f>
        <v>3.6</v>
      </c>
      <c r="K5" s="81" t="s">
        <v>139</v>
      </c>
      <c r="L5" s="7">
        <f>IF(G6=0,0,_xlfn.XLOOKUP(G5,Lists!$N$3:$N$9,Lists!$O$3:$O$9))</f>
        <v>0</v>
      </c>
      <c r="M5" s="189"/>
      <c r="O5" s="71" t="s">
        <v>140</v>
      </c>
      <c r="P5" s="71" t="s">
        <v>140</v>
      </c>
      <c r="Q5" s="71" t="s">
        <v>141</v>
      </c>
      <c r="R5" s="71" t="s">
        <v>142</v>
      </c>
      <c r="S5" s="71" t="s">
        <v>143</v>
      </c>
      <c r="T5" s="71" t="s">
        <v>144</v>
      </c>
      <c r="U5" s="71" t="s">
        <v>145</v>
      </c>
      <c r="V5" s="71" t="s">
        <v>145</v>
      </c>
      <c r="W5" s="71" t="s">
        <v>146</v>
      </c>
      <c r="X5" s="71" t="s">
        <v>146</v>
      </c>
      <c r="Y5" s="71" t="s">
        <v>146</v>
      </c>
      <c r="Z5" s="71" t="s">
        <v>147</v>
      </c>
      <c r="AA5" s="71" t="s">
        <v>148</v>
      </c>
      <c r="AB5" s="71"/>
      <c r="AC5" s="71"/>
      <c r="AD5" s="71"/>
      <c r="AE5" s="71" t="s">
        <v>148</v>
      </c>
    </row>
    <row r="6" spans="2:31" ht="15" thickBot="1" x14ac:dyDescent="0.4">
      <c r="B6" s="72" t="s">
        <v>149</v>
      </c>
      <c r="C6" s="73" t="s">
        <v>120</v>
      </c>
      <c r="D6" s="74">
        <f>I8</f>
        <v>0</v>
      </c>
      <c r="E6" t="e" cm="1">
        <f t="array" aca="1" ref="E6" ca="1">wrform(D6)</f>
        <v>#NAME?</v>
      </c>
      <c r="F6" s="80" t="s">
        <v>46</v>
      </c>
      <c r="G6" s="76">
        <f>'Span Lookup'!C22</f>
        <v>0</v>
      </c>
      <c r="H6" s="77">
        <f>'Span Lookup'!D22</f>
        <v>0</v>
      </c>
      <c r="I6" s="77">
        <f>'Span Lookup'!E22</f>
        <v>0</v>
      </c>
      <c r="J6" s="78">
        <f>'Span Lookup'!F22</f>
        <v>0</v>
      </c>
      <c r="K6" s="82"/>
      <c r="L6" s="7">
        <f>IF(G7=0,0,_xlfn.XLOOKUP(G6,Lists!$N$3:$N$9,Lists!$O$3:$O$9))</f>
        <v>0</v>
      </c>
      <c r="M6" s="7"/>
      <c r="O6" s="118">
        <v>0</v>
      </c>
      <c r="P6" s="71">
        <v>0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116">
        <v>0</v>
      </c>
      <c r="W6" s="116">
        <v>0</v>
      </c>
      <c r="X6" s="115">
        <v>0</v>
      </c>
      <c r="Y6" s="117">
        <v>0</v>
      </c>
      <c r="Z6" s="71">
        <v>0</v>
      </c>
      <c r="AA6" s="71">
        <v>0</v>
      </c>
      <c r="AB6" s="71"/>
      <c r="AC6" s="71"/>
      <c r="AD6" s="71"/>
      <c r="AE6" s="71"/>
    </row>
    <row r="7" spans="2:31" x14ac:dyDescent="0.35">
      <c r="B7" s="72" t="s">
        <v>150</v>
      </c>
      <c r="C7" s="73" t="s">
        <v>120</v>
      </c>
      <c r="D7" s="74">
        <f>I10</f>
        <v>0</v>
      </c>
      <c r="E7" t="str" cm="1">
        <f t="array" ref="E7">wrform(D7)</f>
        <v>0</v>
      </c>
      <c r="F7" s="80" t="s">
        <v>49</v>
      </c>
      <c r="G7" s="76">
        <f>'Span Lookup'!C23</f>
        <v>0</v>
      </c>
      <c r="H7" s="77">
        <f>'Span Lookup'!D23</f>
        <v>0</v>
      </c>
      <c r="I7" s="77">
        <f>'Span Lookup'!E23</f>
        <v>0</v>
      </c>
      <c r="J7" s="78">
        <f>'Span Lookup'!F23</f>
        <v>0</v>
      </c>
      <c r="K7" s="81" t="s">
        <v>139</v>
      </c>
      <c r="L7" s="7">
        <f>IF(G8=0,0,_xlfn.XLOOKUP(G7,Lists!$N$3:$N$9,Lists!$O$3:$O$9))</f>
        <v>0</v>
      </c>
      <c r="M7" s="189"/>
      <c r="O7" s="118">
        <v>6</v>
      </c>
      <c r="P7" s="71">
        <v>8</v>
      </c>
      <c r="Q7" s="71">
        <v>0.222</v>
      </c>
      <c r="R7" s="116">
        <v>28.274333882308138</v>
      </c>
      <c r="S7" s="116">
        <v>63.617251235193308</v>
      </c>
      <c r="T7" s="114">
        <v>1.3041536503214627E-2</v>
      </c>
      <c r="U7" s="116">
        <v>21.205750411731103</v>
      </c>
      <c r="V7" s="116">
        <v>36</v>
      </c>
      <c r="W7" s="116">
        <v>9.2198914833613484E-3</v>
      </c>
      <c r="X7" s="115">
        <v>1.5652173913043476E-2</v>
      </c>
      <c r="Y7" s="117">
        <v>1.0434782608695651E-2</v>
      </c>
      <c r="Z7" s="71">
        <v>0</v>
      </c>
      <c r="AA7" s="71">
        <v>12</v>
      </c>
      <c r="AB7" s="71"/>
      <c r="AC7" s="71"/>
      <c r="AD7" s="71"/>
      <c r="AE7" s="71"/>
    </row>
    <row r="8" spans="2:31" ht="15" thickBot="1" x14ac:dyDescent="0.4">
      <c r="B8" s="72" t="s">
        <v>151</v>
      </c>
      <c r="C8" s="73" t="s">
        <v>120</v>
      </c>
      <c r="D8" s="74">
        <f>I13</f>
        <v>16</v>
      </c>
      <c r="E8" t="e" cm="1">
        <f t="array" aca="1" ref="E8" ca="1">wrform(D8)</f>
        <v>#NAME?</v>
      </c>
      <c r="F8" s="80" t="s">
        <v>51</v>
      </c>
      <c r="G8" s="76">
        <f>'Span Lookup'!C24</f>
        <v>0</v>
      </c>
      <c r="H8" s="77">
        <f>'Span Lookup'!D24</f>
        <v>0</v>
      </c>
      <c r="I8" s="77">
        <f>'Span Lookup'!E24</f>
        <v>0</v>
      </c>
      <c r="J8" s="78">
        <f>'Span Lookup'!F24</f>
        <v>0</v>
      </c>
      <c r="K8" s="82"/>
      <c r="L8" s="7">
        <f>IF(G9=0,0,_xlfn.XLOOKUP(G8,Lists!$N$3:$N$9,Lists!$O$3:$O$9))</f>
        <v>0</v>
      </c>
      <c r="M8" s="7"/>
      <c r="O8" s="118">
        <v>8</v>
      </c>
      <c r="P8" s="71">
        <v>11</v>
      </c>
      <c r="Q8" s="71">
        <v>0.39500000000000002</v>
      </c>
      <c r="R8" s="116">
        <v>50.26548245743669</v>
      </c>
      <c r="S8" s="116">
        <v>201.06192982974676</v>
      </c>
      <c r="T8" s="114">
        <v>4.1217695615098082E-2</v>
      </c>
      <c r="U8" s="116">
        <v>50.26548245743669</v>
      </c>
      <c r="V8" s="116">
        <v>85.333333333333329</v>
      </c>
      <c r="W8" s="116">
        <v>2.1854557590189866E-2</v>
      </c>
      <c r="X8" s="115">
        <v>3.7101449275362318E-2</v>
      </c>
      <c r="Y8" s="117">
        <v>2.4734299516908212E-2</v>
      </c>
      <c r="Z8" s="71">
        <v>0</v>
      </c>
      <c r="AA8" s="71">
        <v>16</v>
      </c>
      <c r="AB8" s="71"/>
      <c r="AC8" s="71"/>
      <c r="AD8" s="71"/>
      <c r="AE8" s="71"/>
    </row>
    <row r="9" spans="2:31" ht="15" thickBot="1" x14ac:dyDescent="0.4">
      <c r="B9" s="72" t="s">
        <v>152</v>
      </c>
      <c r="C9" s="73" t="s">
        <v>120</v>
      </c>
      <c r="D9" s="74">
        <f>I15</f>
        <v>0</v>
      </c>
      <c r="E9" t="e" cm="1">
        <f t="array" aca="1" ref="E9" ca="1">wrform(D9)</f>
        <v>#NAME?</v>
      </c>
      <c r="F9" s="83" t="s">
        <v>53</v>
      </c>
      <c r="G9" s="76">
        <f>'Span Lookup'!C25</f>
        <v>0</v>
      </c>
      <c r="H9" s="77">
        <f>'Span Lookup'!D25</f>
        <v>0</v>
      </c>
      <c r="I9" s="77">
        <f>'Span Lookup'!E25</f>
        <v>0</v>
      </c>
      <c r="J9" s="78">
        <f>'Span Lookup'!F25</f>
        <v>0</v>
      </c>
      <c r="K9" s="81" t="s">
        <v>139</v>
      </c>
      <c r="L9" s="7">
        <f>IF(G10=0,0,_xlfn.XLOOKUP(G9,Lists!$N$3:$N$9,Lists!$O$3:$O$9))</f>
        <v>0</v>
      </c>
      <c r="M9" s="189"/>
      <c r="O9" s="118">
        <v>10</v>
      </c>
      <c r="P9" s="71">
        <v>13</v>
      </c>
      <c r="Q9" s="71">
        <v>0.61599999999999999</v>
      </c>
      <c r="R9" s="116">
        <v>78.539816339744831</v>
      </c>
      <c r="S9" s="116">
        <v>490.87385212340519</v>
      </c>
      <c r="T9" s="114">
        <v>0.10062913968529807</v>
      </c>
      <c r="U9" s="116">
        <v>98.174770424681029</v>
      </c>
      <c r="V9" s="116">
        <v>166.66666666666666</v>
      </c>
      <c r="W9" s="116">
        <v>4.2684682793339576E-2</v>
      </c>
      <c r="X9" s="115">
        <v>7.2463768115942018E-2</v>
      </c>
      <c r="Y9" s="117">
        <v>4.8309178743961345E-2</v>
      </c>
      <c r="Z9" s="71">
        <v>0</v>
      </c>
      <c r="AA9" s="71">
        <v>20</v>
      </c>
      <c r="AB9" s="71"/>
      <c r="AC9" s="71"/>
      <c r="AD9" s="71"/>
      <c r="AE9" s="71"/>
    </row>
    <row r="10" spans="2:31" ht="15" thickBot="1" x14ac:dyDescent="0.4">
      <c r="B10" s="72" t="s">
        <v>153</v>
      </c>
      <c r="C10" s="73" t="s">
        <v>120</v>
      </c>
      <c r="D10" s="74">
        <f>I17</f>
        <v>0</v>
      </c>
      <c r="E10" t="str" cm="1">
        <f t="array" ref="E10">wrform(D10)</f>
        <v>0</v>
      </c>
      <c r="F10" s="83" t="s">
        <v>54</v>
      </c>
      <c r="G10" s="76">
        <f>'Span Lookup'!C26</f>
        <v>0</v>
      </c>
      <c r="H10" s="77">
        <f>'Span Lookup'!D26</f>
        <v>0</v>
      </c>
      <c r="I10" s="77">
        <f>'Span Lookup'!E26</f>
        <v>0</v>
      </c>
      <c r="J10" s="78">
        <f>'Span Lookup'!F26</f>
        <v>0</v>
      </c>
      <c r="K10" s="81" t="s">
        <v>139</v>
      </c>
      <c r="L10" s="7">
        <f>IF(G11=0,0,_xlfn.XLOOKUP(G10,Lists!$N$3:$N$9,Lists!$O$3:$O$9))</f>
        <v>0</v>
      </c>
      <c r="M10" s="189"/>
      <c r="O10" s="118">
        <v>12</v>
      </c>
      <c r="P10" s="71">
        <v>14</v>
      </c>
      <c r="Q10" s="71">
        <v>0.88800000000000001</v>
      </c>
      <c r="R10" s="116">
        <v>113.09733552923255</v>
      </c>
      <c r="S10" s="116">
        <v>1017.8760197630929</v>
      </c>
      <c r="T10" s="114">
        <v>0.20866458405143404</v>
      </c>
      <c r="U10" s="116">
        <v>169.64600329384882</v>
      </c>
      <c r="V10" s="116">
        <v>288</v>
      </c>
      <c r="W10" s="116">
        <v>7.3759131866890787E-2</v>
      </c>
      <c r="X10" s="115">
        <v>0.12521739130434781</v>
      </c>
      <c r="Y10" s="117">
        <v>8.347826086956521E-2</v>
      </c>
      <c r="Z10" s="71">
        <v>0</v>
      </c>
      <c r="AA10" s="71">
        <v>24</v>
      </c>
      <c r="AB10" s="71"/>
      <c r="AC10" s="71"/>
      <c r="AD10" s="71"/>
      <c r="AE10" s="71"/>
    </row>
    <row r="11" spans="2:31" ht="14.25" customHeight="1" thickBot="1" x14ac:dyDescent="0.4">
      <c r="B11" s="72" t="s">
        <v>154</v>
      </c>
      <c r="C11" s="73" t="s">
        <v>120</v>
      </c>
      <c r="D11" s="74">
        <f>I19</f>
        <v>0</v>
      </c>
      <c r="E11" t="str" cm="1">
        <f t="array" ref="E11">wrform(D11)</f>
        <v>0</v>
      </c>
      <c r="F11" s="83" t="s">
        <v>58</v>
      </c>
      <c r="G11" s="76">
        <f>'Span Lookup'!C27</f>
        <v>0</v>
      </c>
      <c r="H11" s="77">
        <f>'Span Lookup'!D27</f>
        <v>0</v>
      </c>
      <c r="I11" s="77">
        <f>'Span Lookup'!E27</f>
        <v>0</v>
      </c>
      <c r="J11" s="78">
        <f>'Span Lookup'!F27</f>
        <v>0</v>
      </c>
      <c r="K11" s="81" t="s">
        <v>139</v>
      </c>
      <c r="L11" s="7">
        <f>IF(G12=0,0,_xlfn.XLOOKUP(G11,Lists!$N$3:$N$9,Lists!$O$3:$O$9))</f>
        <v>0</v>
      </c>
      <c r="M11" s="189"/>
      <c r="O11" s="118">
        <v>16</v>
      </c>
      <c r="P11" s="71">
        <v>19</v>
      </c>
      <c r="Q11" s="71">
        <v>1.579</v>
      </c>
      <c r="R11" s="116">
        <v>201.06192982974676</v>
      </c>
      <c r="S11" s="116">
        <v>3216.9908772759482</v>
      </c>
      <c r="T11" s="114">
        <v>0.65948312984156932</v>
      </c>
      <c r="U11" s="116">
        <v>402.12385965949352</v>
      </c>
      <c r="V11" s="116">
        <v>682.66666666666663</v>
      </c>
      <c r="W11" s="116">
        <v>0.17483646072151893</v>
      </c>
      <c r="X11" s="115">
        <v>0.29681159420289854</v>
      </c>
      <c r="Y11" s="117">
        <v>0.1978743961352657</v>
      </c>
      <c r="Z11" s="71">
        <v>0</v>
      </c>
      <c r="AA11" s="71">
        <v>32</v>
      </c>
      <c r="AB11" s="71"/>
      <c r="AC11" s="71"/>
      <c r="AD11" s="71"/>
      <c r="AE11" s="71"/>
    </row>
    <row r="12" spans="2:31" ht="69.400000000000006" customHeight="1" x14ac:dyDescent="0.35">
      <c r="B12" s="87" t="s">
        <v>155</v>
      </c>
      <c r="C12" s="95" t="s">
        <v>156</v>
      </c>
      <c r="D12" s="88">
        <f>VLOOKUP(H4,$O$6:$AA$16,3,FALSE)*I4*1.35*1.2*9.81/1000+VLOOKUP(H5,$O$6:$AA$16,3,FALSE)*J5*1.35*1.2*9.81/(1000*0.2)</f>
        <v>2.7077130360000004</v>
      </c>
      <c r="E12" t="e" cm="1">
        <f t="array" aca="1" ref="E12" ca="1">wrform(D12)</f>
        <v>#NAME?</v>
      </c>
      <c r="F12" s="80"/>
      <c r="G12" s="76"/>
      <c r="H12" s="77"/>
      <c r="I12" s="77"/>
      <c r="J12" s="78"/>
      <c r="K12" s="190"/>
      <c r="L12" s="7"/>
      <c r="M12" s="7"/>
      <c r="O12" s="118">
        <v>20</v>
      </c>
      <c r="P12" s="71">
        <v>23</v>
      </c>
      <c r="Q12" s="71">
        <v>2.4660000000000002</v>
      </c>
      <c r="R12" s="116">
        <v>314.15926535897933</v>
      </c>
      <c r="S12" s="116">
        <v>7853.981633974483</v>
      </c>
      <c r="T12" s="114">
        <v>1.6100662349647692</v>
      </c>
      <c r="U12" s="116">
        <v>785.39816339744823</v>
      </c>
      <c r="V12" s="116">
        <v>1333.3333333333333</v>
      </c>
      <c r="W12" s="116">
        <v>0.34147746234671661</v>
      </c>
      <c r="X12" s="115">
        <v>0.57971014492753614</v>
      </c>
      <c r="Y12" s="117">
        <v>0.38647342995169076</v>
      </c>
      <c r="Z12" s="71">
        <v>79.400000000000006</v>
      </c>
      <c r="AA12" s="71">
        <v>70</v>
      </c>
      <c r="AB12" s="71"/>
      <c r="AC12" s="71"/>
      <c r="AD12" s="71"/>
      <c r="AE12" s="71"/>
    </row>
    <row r="13" spans="2:31" ht="67.150000000000006" customHeight="1" thickBot="1" x14ac:dyDescent="0.4">
      <c r="B13" s="89" t="s">
        <v>157</v>
      </c>
      <c r="C13" s="98" t="s">
        <v>158</v>
      </c>
      <c r="D13" s="99">
        <f>VLOOKUP(H4,$O$6:$AA$16,3,FALSE)*2*1.35*1.2*9.81/1000+VLOOKUP(H5,$O$6:$AA$16,3,FALSE)*J5*1.35*1.2*9.81/(1000*0.2)</f>
        <v>1.3031286156000002</v>
      </c>
      <c r="E13" t="e" cm="1">
        <f t="array" aca="1" ref="E13" ca="1">wrform(D13)</f>
        <v>#NAME?</v>
      </c>
      <c r="F13" s="80" t="s">
        <v>59</v>
      </c>
      <c r="G13" s="76">
        <f>'Span Lookup'!C28</f>
        <v>25</v>
      </c>
      <c r="H13" s="77">
        <f>'Span Lookup'!D28</f>
        <v>32</v>
      </c>
      <c r="I13" s="77">
        <f>'Span Lookup'!E28</f>
        <v>16</v>
      </c>
      <c r="J13" s="78">
        <f>'Span Lookup'!F28</f>
        <v>0</v>
      </c>
      <c r="K13" s="82"/>
      <c r="L13" s="7">
        <f>IF(G14=0,0,_xlfn.XLOOKUP(G13,Lists!$N$3:$N$9,Lists!$O$3:$O$9))</f>
        <v>29</v>
      </c>
      <c r="M13" s="189"/>
      <c r="O13" s="118">
        <v>25</v>
      </c>
      <c r="P13" s="71">
        <v>29</v>
      </c>
      <c r="Q13" s="71">
        <v>3.8540000000000001</v>
      </c>
      <c r="R13" s="116">
        <v>490.87385212340519</v>
      </c>
      <c r="S13" s="116">
        <v>19174.759848570513</v>
      </c>
      <c r="T13" s="114">
        <v>3.930825768956955</v>
      </c>
      <c r="U13" s="116">
        <v>1533.9807878856411</v>
      </c>
      <c r="V13" s="116">
        <v>2604.1666666666665</v>
      </c>
      <c r="W13" s="116">
        <v>0.66694816864593098</v>
      </c>
      <c r="X13" s="115">
        <v>1.1322463768115942</v>
      </c>
      <c r="Y13" s="117">
        <v>0.75483091787439616</v>
      </c>
      <c r="Z13" s="71">
        <v>119.1</v>
      </c>
      <c r="AA13" s="71">
        <v>87</v>
      </c>
      <c r="AB13" s="118">
        <v>113</v>
      </c>
      <c r="AC13" s="118">
        <v>105</v>
      </c>
      <c r="AD13" s="118">
        <v>129</v>
      </c>
      <c r="AE13" s="118">
        <v>50</v>
      </c>
    </row>
    <row r="14" spans="2:31" ht="43.5" customHeight="1" x14ac:dyDescent="0.35">
      <c r="B14" s="87" t="s">
        <v>159</v>
      </c>
      <c r="C14" s="73" t="s">
        <v>160</v>
      </c>
      <c r="D14" s="88">
        <f>VLOOKUP(H6,$O$6:$AA$16,3,FALSE)*I6*1.35*1.2*9.81/1000+VLOOKUP(H7,$O$6:$AA$16,3,FALSE)*J7*1.35*1.2*9.81/(1000*0.2)</f>
        <v>0</v>
      </c>
      <c r="E14" t="e" cm="1">
        <f t="array" aca="1" ref="E14" ca="1">wrform(D14)</f>
        <v>#NAME?</v>
      </c>
      <c r="F14" s="80" t="s">
        <v>62</v>
      </c>
      <c r="G14" s="76">
        <f>'Span Lookup'!C29</f>
        <v>25</v>
      </c>
      <c r="H14" s="77">
        <f>'Span Lookup'!D29</f>
        <v>25</v>
      </c>
      <c r="I14" s="77">
        <f>'Span Lookup'!E29</f>
        <v>0</v>
      </c>
      <c r="J14" s="78">
        <f>'Span Lookup'!F29</f>
        <v>3.6</v>
      </c>
      <c r="K14" s="81" t="s">
        <v>139</v>
      </c>
      <c r="L14" s="7">
        <f>IF(G15=0,0,_xlfn.XLOOKUP(G14,Lists!$N$3:$N$9,Lists!$O$3:$O$9))</f>
        <v>0</v>
      </c>
      <c r="M14" s="7"/>
      <c r="O14" s="118">
        <v>32</v>
      </c>
      <c r="P14" s="71">
        <v>37</v>
      </c>
      <c r="Q14" s="71">
        <v>6.3129999999999997</v>
      </c>
      <c r="R14" s="116">
        <v>804.24771931898704</v>
      </c>
      <c r="S14" s="116">
        <v>51471.85403641517</v>
      </c>
      <c r="T14" s="114">
        <v>10.551730077465109</v>
      </c>
      <c r="U14" s="116">
        <v>3216.9908772759482</v>
      </c>
      <c r="V14" s="116">
        <v>5461.333333333333</v>
      </c>
      <c r="W14" s="116">
        <v>1.3986916857721514</v>
      </c>
      <c r="X14" s="115">
        <v>2.3744927536231883</v>
      </c>
      <c r="Y14" s="117">
        <v>1.5829951690821256</v>
      </c>
      <c r="Z14" s="71">
        <v>138.9</v>
      </c>
      <c r="AA14" s="71">
        <v>112</v>
      </c>
      <c r="AB14" s="118">
        <v>111</v>
      </c>
      <c r="AC14" s="118">
        <v>115</v>
      </c>
      <c r="AD14" s="118">
        <v>130</v>
      </c>
      <c r="AE14" s="118">
        <v>50</v>
      </c>
    </row>
    <row r="15" spans="2:31" ht="53.65" customHeight="1" thickBot="1" x14ac:dyDescent="0.4">
      <c r="B15" s="89" t="s">
        <v>161</v>
      </c>
      <c r="C15" s="90" t="s">
        <v>160</v>
      </c>
      <c r="D15" s="99">
        <f>VLOOKUP(H6,$O$6:$AA$16,3,FALSE)*2*1.35*1.2*9.81/1000+VLOOKUP(H7,$O$6:$AA$16,3,FALSE)*J7*1.35*1.2*9.81/(1000*0.2)</f>
        <v>0</v>
      </c>
      <c r="E15" t="e" cm="1">
        <f t="array" aca="1" ref="E15" ca="1">wrform(D15)</f>
        <v>#NAME?</v>
      </c>
      <c r="F15" s="80" t="s">
        <v>65</v>
      </c>
      <c r="G15" s="76">
        <f>'Span Lookup'!C30</f>
        <v>0</v>
      </c>
      <c r="H15" s="77">
        <f>'Span Lookup'!D30</f>
        <v>0</v>
      </c>
      <c r="I15" s="77">
        <f>'Span Lookup'!E30</f>
        <v>0</v>
      </c>
      <c r="J15" s="78">
        <f>'Span Lookup'!F30</f>
        <v>0</v>
      </c>
      <c r="K15" s="82"/>
      <c r="L15" s="7">
        <f>IF(G16=0,0,_xlfn.XLOOKUP(G15,Lists!$N$3:$N$9,Lists!$O$3:$O$9))</f>
        <v>0</v>
      </c>
      <c r="M15" s="189"/>
      <c r="O15" s="118">
        <v>40</v>
      </c>
      <c r="P15" s="71">
        <v>46</v>
      </c>
      <c r="Q15" s="71">
        <v>9.8640000000000008</v>
      </c>
      <c r="R15" s="116">
        <v>1256.6370614359173</v>
      </c>
      <c r="S15" s="116">
        <v>125663.70614359173</v>
      </c>
      <c r="T15" s="114">
        <v>25.761059759436307</v>
      </c>
      <c r="U15" s="116">
        <v>6283.1853071795858</v>
      </c>
      <c r="V15" s="116">
        <v>10666.666666666666</v>
      </c>
      <c r="W15" s="116">
        <v>2.7318196987737329</v>
      </c>
      <c r="X15" s="115">
        <v>4.6376811594202891</v>
      </c>
      <c r="Y15" s="117">
        <v>3.0917874396135261</v>
      </c>
      <c r="Z15" s="71">
        <v>138.9</v>
      </c>
      <c r="AA15" s="71">
        <v>140</v>
      </c>
      <c r="AB15" s="118">
        <v>116</v>
      </c>
      <c r="AC15" s="118">
        <v>115</v>
      </c>
      <c r="AD15" s="118">
        <v>134</v>
      </c>
      <c r="AE15" s="118">
        <v>50</v>
      </c>
    </row>
    <row r="16" spans="2:31" ht="27.25" customHeight="1" x14ac:dyDescent="0.35">
      <c r="B16" s="87" t="s">
        <v>162</v>
      </c>
      <c r="C16" s="73" t="s">
        <v>163</v>
      </c>
      <c r="D16" s="88">
        <f>VLOOKUP(H8,$O$6:$AA$16,3,FALSE)*I8*1.35*1.2*9.81/1000+VLOOKUP(H9,$O$6:$AA$16,3,FALSE)*J9*1.35*1.2*9.81/(1000*0.2)</f>
        <v>0</v>
      </c>
      <c r="E16" t="e" cm="1">
        <f t="array" aca="1" ref="E16" ca="1">wrform(D16)</f>
        <v>#NAME?</v>
      </c>
      <c r="F16" s="80" t="s">
        <v>68</v>
      </c>
      <c r="G16" s="76">
        <f>'Span Lookup'!C31</f>
        <v>0</v>
      </c>
      <c r="H16" s="77">
        <f>'Span Lookup'!D31</f>
        <v>0</v>
      </c>
      <c r="I16" s="77">
        <f>'Span Lookup'!E31</f>
        <v>0</v>
      </c>
      <c r="J16" s="78">
        <f>'Span Lookup'!F31</f>
        <v>0</v>
      </c>
      <c r="K16" s="81" t="s">
        <v>139</v>
      </c>
      <c r="L16" s="7">
        <f>IF(G17=0,0,_xlfn.XLOOKUP(G16,Lists!$N$3:$N$9,Lists!$O$3:$O$9))</f>
        <v>0</v>
      </c>
      <c r="M16" s="7"/>
      <c r="O16" s="118">
        <v>50</v>
      </c>
      <c r="P16" s="71">
        <v>57</v>
      </c>
      <c r="Q16" s="71">
        <v>15.413</v>
      </c>
      <c r="R16" s="116">
        <v>1963.4954084936207</v>
      </c>
      <c r="S16" s="116">
        <v>306796.15757712821</v>
      </c>
      <c r="T16" s="114">
        <v>62.89321230331128</v>
      </c>
      <c r="U16" s="116">
        <v>12271.846303085129</v>
      </c>
      <c r="V16" s="116">
        <v>20833.333333333332</v>
      </c>
      <c r="W16" s="116">
        <v>5.3355853491674479</v>
      </c>
      <c r="X16" s="115">
        <v>9.0579710144927539</v>
      </c>
      <c r="Y16" s="117">
        <v>6.0386473429951693</v>
      </c>
      <c r="Z16" s="71">
        <v>0</v>
      </c>
      <c r="AA16" s="71">
        <v>175</v>
      </c>
      <c r="AB16" s="71"/>
      <c r="AC16" s="71"/>
      <c r="AD16" s="71"/>
    </row>
    <row r="17" spans="2:13" ht="54.4" customHeight="1" thickBot="1" x14ac:dyDescent="0.4">
      <c r="B17" s="89" t="s">
        <v>164</v>
      </c>
      <c r="C17" s="90" t="s">
        <v>163</v>
      </c>
      <c r="D17" s="99">
        <f>VLOOKUP(H8,$O$6:$AA$16,3,FALSE)*2*1.35*1.2*9.81/1000+VLOOKUP(H9,$O$6:$AA$16,3,FALSE)*J9*1.35*1.2*9.81/(1000*0.2)</f>
        <v>0</v>
      </c>
      <c r="E17" t="e" cm="1">
        <f t="array" aca="1" ref="E17" ca="1">wrform(D17)</f>
        <v>#NAME?</v>
      </c>
      <c r="F17" s="80" t="s">
        <v>71</v>
      </c>
      <c r="G17" s="76">
        <f>'Span Lookup'!C32</f>
        <v>0</v>
      </c>
      <c r="H17" s="77">
        <f>'Span Lookup'!D32</f>
        <v>0</v>
      </c>
      <c r="I17" s="77">
        <f>'Span Lookup'!E32</f>
        <v>0</v>
      </c>
      <c r="J17" s="78">
        <f>'Span Lookup'!F32</f>
        <v>0</v>
      </c>
      <c r="K17" s="82"/>
      <c r="L17" s="7">
        <f>IF(G18=0,0,_xlfn.XLOOKUP(G17,Lists!$N$3:$N$9,Lists!$O$3:$O$9))</f>
        <v>0</v>
      </c>
      <c r="M17" s="189"/>
    </row>
    <row r="18" spans="2:13" ht="15" thickBot="1" x14ac:dyDescent="0.4">
      <c r="B18" s="87" t="s">
        <v>165</v>
      </c>
      <c r="C18" s="73" t="s">
        <v>166</v>
      </c>
      <c r="D18" s="88">
        <f>VLOOKUP(H10,$O$6:$AA$16,3,FALSE)*I10*1.35*1.2*9.81/1000+VLOOKUP(H11,$O$6:$AA$16,3,FALSE)*J11*1.35*1.2*9.81/(1000*0.2)</f>
        <v>0</v>
      </c>
      <c r="E18" t="str" cm="1">
        <f t="array" ref="E18">wrform(D18)</f>
        <v>VLOOKUP(0,0:0,3,FALSE)*0*1.35*1.2*9.81/1000+VLOOKUP(0,0:0,3,FALSE)*0*1.35*1.2*9.81/(1000*0.2)</v>
      </c>
      <c r="F18" s="83" t="s">
        <v>74</v>
      </c>
      <c r="G18" s="76">
        <f>'Span Lookup'!C33</f>
        <v>0</v>
      </c>
      <c r="H18" s="77">
        <f>'Span Lookup'!D33</f>
        <v>0</v>
      </c>
      <c r="I18" s="77">
        <f>'Span Lookup'!E33</f>
        <v>0</v>
      </c>
      <c r="J18" s="78">
        <f>'Span Lookup'!F33</f>
        <v>0</v>
      </c>
      <c r="K18" s="81" t="s">
        <v>139</v>
      </c>
      <c r="L18" s="7">
        <f>IF(G19=0,0,_xlfn.XLOOKUP(G18,Lists!$N$3:$N$9,Lists!$O$3:$O$9))</f>
        <v>0</v>
      </c>
      <c r="M18" s="189"/>
    </row>
    <row r="19" spans="2:13" ht="15" thickBot="1" x14ac:dyDescent="0.4">
      <c r="B19" s="89" t="s">
        <v>167</v>
      </c>
      <c r="C19" s="90" t="s">
        <v>166</v>
      </c>
      <c r="D19" s="99">
        <f>VLOOKUP(H10,$O$6:$AA$16,3,FALSE)*2*1.35*1.2*9.81/1000+VLOOKUP(H11,$O$6:$AA$16,3,FALSE)*J11*1.35*1.2*9.81/(1000*0.2)</f>
        <v>0</v>
      </c>
      <c r="E19" t="str" cm="1">
        <f t="array" ref="E19">wrform(D19)</f>
        <v>VLOOKUP(0,0:0,3,FALSE)*2*1.35*1.2*9.81/1000+VLOOKUP(0,0:0,3,FALSE)*0*1.35*1.2*9.81/(1000*0.2)</v>
      </c>
      <c r="F19" s="80" t="s">
        <v>77</v>
      </c>
      <c r="G19" s="76">
        <f>'Span Lookup'!C34</f>
        <v>0</v>
      </c>
      <c r="H19" s="77">
        <f>'Span Lookup'!D34</f>
        <v>0</v>
      </c>
      <c r="I19" s="77">
        <f>'Span Lookup'!E34</f>
        <v>0</v>
      </c>
      <c r="J19" s="78">
        <f>'Span Lookup'!F34</f>
        <v>0</v>
      </c>
      <c r="K19" s="81" t="s">
        <v>139</v>
      </c>
      <c r="L19" s="7">
        <f>IF(G20=0,0,_xlfn.XLOOKUP(G19,Lists!$N$3:$N$9,Lists!$O$3:$O$9))</f>
        <v>0</v>
      </c>
      <c r="M19" s="189"/>
    </row>
    <row r="20" spans="2:13" ht="15" thickBot="1" x14ac:dyDescent="0.4">
      <c r="B20" s="87" t="s">
        <v>168</v>
      </c>
      <c r="C20" s="73" t="s">
        <v>169</v>
      </c>
      <c r="D20" s="88">
        <f t="shared" ref="D20:D27" si="0">D12*1.3/1.2</f>
        <v>2.9333557890000006</v>
      </c>
      <c r="E20" t="e" cm="1">
        <f t="array" aca="1" ref="E20" ca="1">wrform(D20)</f>
        <v>#NAME?</v>
      </c>
      <c r="F20" s="83" t="s">
        <v>81</v>
      </c>
      <c r="G20" s="76">
        <f>'Span Lookup'!C35</f>
        <v>0</v>
      </c>
      <c r="H20" s="77">
        <f>'Span Lookup'!D35</f>
        <v>0</v>
      </c>
      <c r="I20" s="77">
        <f>'Span Lookup'!E35</f>
        <v>0</v>
      </c>
      <c r="J20" s="78">
        <f>'Span Lookup'!F35</f>
        <v>0</v>
      </c>
      <c r="K20" s="81" t="s">
        <v>139</v>
      </c>
      <c r="L20" s="7">
        <f>IF(G21=0,0,_xlfn.XLOOKUP(G20,Lists!$N$3:$N$9,Lists!$O$3:$O$9))</f>
        <v>0</v>
      </c>
    </row>
    <row r="21" spans="2:13" ht="15" thickBot="1" x14ac:dyDescent="0.4">
      <c r="B21" s="89" t="s">
        <v>170</v>
      </c>
      <c r="C21" s="90" t="s">
        <v>169</v>
      </c>
      <c r="D21" s="99">
        <f t="shared" si="0"/>
        <v>1.4117226669000003</v>
      </c>
      <c r="E21" t="e" cm="1">
        <f t="array" aca="1" ref="E21" ca="1">wrform(D21)</f>
        <v>#NAME?</v>
      </c>
      <c r="M21" s="26"/>
    </row>
    <row r="22" spans="2:13" ht="15" thickBot="1" x14ac:dyDescent="0.4">
      <c r="B22" s="87" t="s">
        <v>171</v>
      </c>
      <c r="C22" s="73" t="s">
        <v>172</v>
      </c>
      <c r="D22" s="88">
        <f t="shared" si="0"/>
        <v>0</v>
      </c>
      <c r="E22" t="e" cm="1">
        <f t="array" aca="1" ref="E22" ca="1">wrform(D22)</f>
        <v>#NAME?</v>
      </c>
      <c r="F22" s="83" t="s">
        <v>84</v>
      </c>
      <c r="G22" s="92">
        <f>'Span Lookup'!C37</f>
        <v>0.31</v>
      </c>
      <c r="H22" s="211" t="s">
        <v>173</v>
      </c>
      <c r="I22" s="212"/>
      <c r="J22" s="212"/>
      <c r="K22" s="213"/>
      <c r="L22" s="26"/>
      <c r="M22" s="41"/>
    </row>
    <row r="23" spans="2:13" ht="44" thickBot="1" x14ac:dyDescent="0.4">
      <c r="B23" s="89" t="s">
        <v>174</v>
      </c>
      <c r="C23" s="90" t="s">
        <v>172</v>
      </c>
      <c r="D23" s="99">
        <f t="shared" si="0"/>
        <v>0</v>
      </c>
      <c r="E23" t="e" cm="1">
        <f t="array" aca="1" ref="E23" ca="1">wrform(D23)</f>
        <v>#NAME?</v>
      </c>
      <c r="F23" s="5" t="s">
        <v>175</v>
      </c>
      <c r="G23" s="6">
        <f>'Span Lookup'!C39</f>
        <v>0.5</v>
      </c>
      <c r="H23" s="93" t="s">
        <v>176</v>
      </c>
      <c r="I23" s="93" t="s">
        <v>87</v>
      </c>
      <c r="J23" s="93" t="s">
        <v>88</v>
      </c>
      <c r="K23" s="32" t="s">
        <v>89</v>
      </c>
      <c r="L23" s="41"/>
      <c r="M23" s="189"/>
    </row>
    <row r="24" spans="2:13" ht="87.65" customHeight="1" thickBot="1" x14ac:dyDescent="0.4">
      <c r="B24" s="87" t="s">
        <v>177</v>
      </c>
      <c r="C24" s="73" t="s">
        <v>178</v>
      </c>
      <c r="D24" s="88">
        <f t="shared" si="0"/>
        <v>0</v>
      </c>
      <c r="E24" t="e" cm="1">
        <f t="array" aca="1" ref="E24" ca="1">wrform(D24)</f>
        <v>#NAME?</v>
      </c>
      <c r="F24" s="5" t="s">
        <v>179</v>
      </c>
      <c r="G24" s="94">
        <f>D71</f>
        <v>3</v>
      </c>
      <c r="H24" s="6">
        <f>'Span Lookup'!D39</f>
        <v>25</v>
      </c>
      <c r="I24" s="6">
        <f>'Span Lookup'!E39</f>
        <v>25</v>
      </c>
      <c r="J24" s="6">
        <f>'Span Lookup'!F39</f>
        <v>25</v>
      </c>
      <c r="K24" s="6">
        <f>'Span Lookup'!G39</f>
        <v>6</v>
      </c>
      <c r="L24" s="189"/>
      <c r="M24" s="4"/>
    </row>
    <row r="25" spans="2:13" ht="30.65" customHeight="1" thickBot="1" x14ac:dyDescent="0.4">
      <c r="B25" s="89" t="s">
        <v>180</v>
      </c>
      <c r="C25" s="90" t="s">
        <v>178</v>
      </c>
      <c r="D25" s="99">
        <f t="shared" si="0"/>
        <v>0</v>
      </c>
      <c r="E25" t="e" cm="1">
        <f t="array" aca="1" ref="E25" ca="1">wrform(D25)</f>
        <v>#NAME?</v>
      </c>
      <c r="F25" s="3" t="s">
        <v>92</v>
      </c>
      <c r="G25" s="33" t="str">
        <f>D74</f>
        <v>OK</v>
      </c>
      <c r="H25" s="34" t="str">
        <f>D99</f>
        <v>OK</v>
      </c>
      <c r="I25" s="34" t="str">
        <f>D137</f>
        <v>OK</v>
      </c>
      <c r="J25" s="132" t="str">
        <f>D175</f>
        <v>OK</v>
      </c>
      <c r="K25" s="30"/>
      <c r="L25" s="4"/>
    </row>
    <row r="26" spans="2:13" x14ac:dyDescent="0.35">
      <c r="B26" s="87" t="s">
        <v>181</v>
      </c>
      <c r="C26" s="73" t="s">
        <v>182</v>
      </c>
      <c r="D26" s="88">
        <f t="shared" si="0"/>
        <v>0</v>
      </c>
      <c r="E26" t="str" cm="1">
        <f t="array" ref="E26">wrform(D26)</f>
        <v>0*1.3/1.2</v>
      </c>
    </row>
    <row r="27" spans="2:13" x14ac:dyDescent="0.35">
      <c r="B27" s="89" t="s">
        <v>183</v>
      </c>
      <c r="C27" s="90" t="s">
        <v>182</v>
      </c>
      <c r="D27" s="99">
        <f t="shared" si="0"/>
        <v>0</v>
      </c>
      <c r="E27" t="e" cm="1">
        <f t="array" ref="E27">wrform(D27)</f>
        <v>#VALUE!</v>
      </c>
      <c r="K27" s="71" t="s">
        <v>184</v>
      </c>
      <c r="L27" s="71">
        <f>SUM(L4:L20)</f>
        <v>58</v>
      </c>
    </row>
    <row r="28" spans="2:13" x14ac:dyDescent="0.35">
      <c r="B28" s="87" t="s">
        <v>185</v>
      </c>
      <c r="C28" s="73" t="s">
        <v>186</v>
      </c>
      <c r="D28" s="128">
        <f>(D20+D22+D24+D26)*(1+G22)</f>
        <v>3.8426960835900008</v>
      </c>
      <c r="E28" t="e" cm="1">
        <f t="array" aca="1" ref="E28" ca="1">wrform(D28)</f>
        <v>#NAME?</v>
      </c>
      <c r="K28" s="71" t="s">
        <v>187</v>
      </c>
      <c r="L28" s="71">
        <f>((COUNT($G$13:$G$20)-COUNTIF($G$13:$G$20,"0")-2)*8)+((COUNT($G$4:$G$11)-COUNTIF($G$4:$G$11,"0")-2)*8)</f>
        <v>0</v>
      </c>
    </row>
    <row r="29" spans="2:13" x14ac:dyDescent="0.35">
      <c r="B29" s="89" t="s">
        <v>188</v>
      </c>
      <c r="C29" s="90" t="s">
        <v>186</v>
      </c>
      <c r="D29" s="91">
        <f>(D21+D23+D25+D27)*(1+G22)</f>
        <v>1.8493566936390005</v>
      </c>
      <c r="E29" t="e" cm="1">
        <f t="array" aca="1" ref="E29" ca="1">wrform(D29)</f>
        <v>#NAME?</v>
      </c>
      <c r="K29" s="71" t="s">
        <v>189</v>
      </c>
      <c r="L29" s="71">
        <f>SUM('Span Lookup'!C46:C47)</f>
        <v>120</v>
      </c>
    </row>
    <row r="30" spans="2:13" x14ac:dyDescent="0.35">
      <c r="B30" s="84" t="s">
        <v>190</v>
      </c>
      <c r="C30" s="86" t="s">
        <v>191</v>
      </c>
      <c r="D30" s="85">
        <f>VLOOKUP(H13,$O$6:$AA$16,3,FALSE)*I13*1.35*1.2*9.81/1000+VLOOKUP(H14,$O$6:$AA$16,3,FALSE)*J14*1.35*1.2*9.81/(1000*0.2)</f>
        <v>2.7077130360000004</v>
      </c>
      <c r="E30" t="e" cm="1">
        <f t="array" aca="1" ref="E30" ca="1">wrform(D30)</f>
        <v>#NAME?</v>
      </c>
      <c r="K30" s="71" t="s">
        <v>192</v>
      </c>
      <c r="L30" s="71">
        <f>2*(_xlfn.XLOOKUP('Span Lookup'!C48,Lists!N3:N9,Lists!O3:O9))</f>
        <v>38</v>
      </c>
    </row>
    <row r="31" spans="2:13" ht="15" thickBot="1" x14ac:dyDescent="0.4">
      <c r="B31" s="89" t="s">
        <v>193</v>
      </c>
      <c r="C31" s="90" t="s">
        <v>191</v>
      </c>
      <c r="D31" s="99">
        <f>VLOOKUP(H13,$O$6:$AA$16,3,FALSE)*2*1.35*1.2*9.81/1000+VLOOKUP(H14,$O$6:$AA$16,3,FALSE)*J14*1.35*1.2*9.81/(1000*0.2)</f>
        <v>1.3031286156000002</v>
      </c>
      <c r="E31" t="e" cm="1">
        <f t="array" aca="1" ref="E31" ca="1">wrform(D31)</f>
        <v>#NAME?</v>
      </c>
    </row>
    <row r="32" spans="2:13" ht="15" thickBot="1" x14ac:dyDescent="0.4">
      <c r="B32" s="84" t="s">
        <v>194</v>
      </c>
      <c r="C32" s="86" t="s">
        <v>195</v>
      </c>
      <c r="D32" s="85">
        <f>VLOOKUP(H15,$O$6:$AA$16,3,FALSE)*I15*1.35*1.2*9.81/1000+VLOOKUP(H16,$O$6:$AA$16,3,FALSE)*J16*1.35*1.2*9.81/(1000*0.2)</f>
        <v>0</v>
      </c>
      <c r="E32" t="e" cm="1">
        <f t="array" aca="1" ref="E32" ca="1">wrform(D32)</f>
        <v>#NAME?</v>
      </c>
      <c r="F32" s="180" t="s">
        <v>102</v>
      </c>
      <c r="G32" s="182">
        <f>'Span Lookup'!C46</f>
        <v>60</v>
      </c>
    </row>
    <row r="33" spans="2:7" ht="15" thickBot="1" x14ac:dyDescent="0.4">
      <c r="B33" s="89" t="s">
        <v>196</v>
      </c>
      <c r="C33" s="90" t="s">
        <v>195</v>
      </c>
      <c r="D33" s="99">
        <f>VLOOKUP(H15,$O$6:$AA$16,3,FALSE)*2*1.35*1.2*9.81/1000+VLOOKUP(H16,$O$6:$AA$16,3,FALSE)*J16*1.35*1.2*9.81/(1000*0.2)</f>
        <v>0</v>
      </c>
      <c r="E33" t="e" cm="1">
        <f t="array" aca="1" ref="E33" ca="1">wrform(D33)</f>
        <v>#NAME?</v>
      </c>
      <c r="F33" s="187" t="s">
        <v>104</v>
      </c>
      <c r="G33" s="182">
        <f>'Span Lookup'!C47</f>
        <v>60</v>
      </c>
    </row>
    <row r="34" spans="2:7" ht="15" thickBot="1" x14ac:dyDescent="0.4">
      <c r="B34" s="84" t="s">
        <v>197</v>
      </c>
      <c r="C34" s="86" t="s">
        <v>198</v>
      </c>
      <c r="D34" s="85">
        <f>VLOOKUP(H17,$O$6:$AA$16,3,FALSE)*I17*1.35*1.2*9.81/1000+VLOOKUP(H18,$O$6:$AA$16,3,FALSE)*J18*1.35*1.2*9.81/(1000*0.2)</f>
        <v>0</v>
      </c>
      <c r="E34" t="str" cm="1">
        <f t="array" ref="E34">wrform(D34)</f>
        <v>VLOOKUP(0,0:0,3,FALSE)*0*1.35*1.2*9.81/1000+VLOOKUP(0,0:0,3,FALSE)*0*1.35*1.2*9.81/(1000*0.2)</v>
      </c>
      <c r="F34" s="181" t="s">
        <v>106</v>
      </c>
      <c r="G34" s="182">
        <f>'Span Lookup'!C48</f>
        <v>16</v>
      </c>
    </row>
    <row r="35" spans="2:7" x14ac:dyDescent="0.35">
      <c r="B35" s="89" t="s">
        <v>199</v>
      </c>
      <c r="C35" s="90" t="s">
        <v>198</v>
      </c>
      <c r="D35" s="99">
        <f>VLOOKUP(H17,$O$6:$AA$16,3,FALSE)*2*1.35*1.2*9.81/1000+VLOOKUP(H18,$O$6:$AA$16,3,FALSE)*J18*1.35*1.2*9.81/(1000*0.2)</f>
        <v>0</v>
      </c>
      <c r="E35" t="str" cm="1">
        <f t="array" ref="E35">wrform(D35)</f>
        <v>VLOOKUP(0,0:0,3,FALSE)*2*1.35*1.2*9.81/1000+VLOOKUP(0,0:0,3,FALSE)*0*1.35*1.2*9.81/(1000*0.2)</v>
      </c>
    </row>
    <row r="36" spans="2:7" x14ac:dyDescent="0.35">
      <c r="B36" s="84" t="s">
        <v>200</v>
      </c>
      <c r="C36" s="86" t="s">
        <v>201</v>
      </c>
      <c r="D36" s="85">
        <f>VLOOKUP(H19,$O$6:$AA$16,3,FALSE)*I19*1.35*1.2*9.81/1000+VLOOKUP(H20,$O$6:$AA$16,3,FALSE)*J20*1.35*1.2*9.81/(1000*0.2)</f>
        <v>0</v>
      </c>
      <c r="E36" t="str" cm="1">
        <f t="array" ref="E36">wrform(D36)</f>
        <v>VLOOKUP(0,0:0,3,FALSE)*0*1.35*1.2*9.81/1000+VLOOKUP(0,0:0,3,FALSE)*0*1.35*1.2*9.81/(1000*0.2)</v>
      </c>
    </row>
    <row r="37" spans="2:7" x14ac:dyDescent="0.35">
      <c r="B37" s="89" t="s">
        <v>202</v>
      </c>
      <c r="C37" s="90" t="s">
        <v>201</v>
      </c>
      <c r="D37" s="99">
        <f>VLOOKUP(H19,$O$6:$AA$16,3,FALSE)*2*1.35*1.2*9.81/1000+VLOOKUP(H20,$O$6:$AA$16,3,FALSE)*J20*1.35*1.2*9.81/(1000*0.2)</f>
        <v>0</v>
      </c>
      <c r="E37" t="str" cm="1">
        <f t="array" ref="E37">wrform(D37)</f>
        <v>VLOOKUP(0,0:0,3,FALSE)*2*1.35*1.2*9.81/1000+VLOOKUP(0,0:0,3,FALSE)*0*1.35*1.2*9.81/(1000*0.2)</v>
      </c>
    </row>
    <row r="38" spans="2:7" ht="48.4" customHeight="1" x14ac:dyDescent="0.35">
      <c r="B38" s="84" t="s">
        <v>203</v>
      </c>
      <c r="C38" s="86" t="s">
        <v>204</v>
      </c>
      <c r="D38" s="85">
        <f t="shared" ref="D38:D43" si="1">D30*1.3/1.2</f>
        <v>2.9333557890000006</v>
      </c>
      <c r="E38" t="e" cm="1">
        <f t="array" aca="1" ref="E38" ca="1">wrform(D38)</f>
        <v>#NAME?</v>
      </c>
    </row>
    <row r="39" spans="2:7" ht="48.4" customHeight="1" x14ac:dyDescent="0.35">
      <c r="B39" s="89" t="s">
        <v>205</v>
      </c>
      <c r="C39" s="90" t="s">
        <v>204</v>
      </c>
      <c r="D39" s="99">
        <f t="shared" si="1"/>
        <v>1.4117226669000003</v>
      </c>
      <c r="E39" t="e" cm="1">
        <f t="array" aca="1" ref="E39" ca="1">wrform(D39)</f>
        <v>#NAME?</v>
      </c>
    </row>
    <row r="40" spans="2:7" x14ac:dyDescent="0.35">
      <c r="B40" s="84" t="s">
        <v>206</v>
      </c>
      <c r="C40" s="86" t="s">
        <v>207</v>
      </c>
      <c r="D40" s="85">
        <f t="shared" si="1"/>
        <v>0</v>
      </c>
      <c r="E40" t="e" cm="1">
        <f t="array" aca="1" ref="E40" ca="1">wrform(D40)</f>
        <v>#NAME?</v>
      </c>
    </row>
    <row r="41" spans="2:7" x14ac:dyDescent="0.35">
      <c r="B41" s="89" t="s">
        <v>208</v>
      </c>
      <c r="C41" s="90" t="s">
        <v>207</v>
      </c>
      <c r="D41" s="99">
        <f t="shared" si="1"/>
        <v>0</v>
      </c>
      <c r="E41" t="e" cm="1">
        <f t="array" aca="1" ref="E41" ca="1">wrform(D41)</f>
        <v>#NAME?</v>
      </c>
    </row>
    <row r="42" spans="2:7" ht="29.9" customHeight="1" x14ac:dyDescent="0.35">
      <c r="B42" s="84" t="s">
        <v>209</v>
      </c>
      <c r="C42" s="86" t="s">
        <v>210</v>
      </c>
      <c r="D42" s="85">
        <f t="shared" si="1"/>
        <v>0</v>
      </c>
      <c r="E42" t="str" cm="1">
        <f t="array" ref="E42">wrform(D42)</f>
        <v>0*1.3/1.2</v>
      </c>
    </row>
    <row r="43" spans="2:7" x14ac:dyDescent="0.35">
      <c r="B43" s="89" t="s">
        <v>209</v>
      </c>
      <c r="C43" s="90" t="s">
        <v>210</v>
      </c>
      <c r="D43" s="99">
        <f t="shared" si="1"/>
        <v>0</v>
      </c>
      <c r="E43" t="str" cm="1">
        <f t="array" ref="E43">wrform(D43)</f>
        <v>0*1.3/1.2</v>
      </c>
    </row>
    <row r="44" spans="2:7" ht="23.15" customHeight="1" x14ac:dyDescent="0.35">
      <c r="B44" s="84" t="s">
        <v>211</v>
      </c>
      <c r="C44" s="86" t="s">
        <v>212</v>
      </c>
      <c r="D44" s="85">
        <f t="shared" ref="D44:D45" si="2">D36*1.3/1.2</f>
        <v>0</v>
      </c>
      <c r="E44" t="str" cm="1">
        <f t="array" ref="E44">wrform(D44)</f>
        <v>0*1.3/1.2</v>
      </c>
    </row>
    <row r="45" spans="2:7" ht="29.9" customHeight="1" x14ac:dyDescent="0.35">
      <c r="B45" s="89" t="s">
        <v>213</v>
      </c>
      <c r="C45" s="90" t="s">
        <v>212</v>
      </c>
      <c r="D45" s="99">
        <f t="shared" si="2"/>
        <v>0</v>
      </c>
      <c r="E45" t="e" cm="1">
        <f t="array" ref="E45">wrform(D45)</f>
        <v>#VALUE!</v>
      </c>
    </row>
    <row r="46" spans="2:7" ht="49.75" customHeight="1" x14ac:dyDescent="0.35">
      <c r="B46" s="84" t="s">
        <v>214</v>
      </c>
      <c r="C46" s="86" t="s">
        <v>215</v>
      </c>
      <c r="D46" s="129">
        <f>(D38+D40+D42+D44)*(1+G22)</f>
        <v>3.8426960835900008</v>
      </c>
      <c r="E46" t="e" cm="1">
        <f t="array" aca="1" ref="E46" ca="1">wrform(D46)</f>
        <v>#NAME?</v>
      </c>
    </row>
    <row r="47" spans="2:7" x14ac:dyDescent="0.35">
      <c r="B47" s="89" t="s">
        <v>214</v>
      </c>
      <c r="C47" s="90" t="s">
        <v>215</v>
      </c>
      <c r="D47" s="91">
        <f>(D39+D41+D43+D45)*(1+G22)</f>
        <v>1.8493566936390005</v>
      </c>
      <c r="E47" t="e" cm="1">
        <f t="array" aca="1" ref="E47" ca="1">wrform(D47)</f>
        <v>#NAME?</v>
      </c>
    </row>
    <row r="48" spans="2:7" ht="26.5" x14ac:dyDescent="0.35">
      <c r="B48" s="87" t="s">
        <v>216</v>
      </c>
      <c r="C48" s="95" t="s">
        <v>217</v>
      </c>
      <c r="D48" s="88">
        <f>(D20+D22+D24+D26)*(1+G22)</f>
        <v>3.8426960835900008</v>
      </c>
      <c r="E48" t="e" cm="1">
        <f t="array" aca="1" ref="E48" ca="1">wrform(D48)</f>
        <v>#NAME?</v>
      </c>
    </row>
    <row r="49" spans="1:6" ht="26.5" x14ac:dyDescent="0.35">
      <c r="B49" s="89" t="s">
        <v>218</v>
      </c>
      <c r="C49" s="98" t="s">
        <v>217</v>
      </c>
      <c r="D49" s="99">
        <f>D21+(D21+D23+D25+D27)*G22</f>
        <v>1.8493566936390002</v>
      </c>
      <c r="E49" t="e" cm="1">
        <f t="array" aca="1" ref="E49" ca="1">wrform(D49)</f>
        <v>#NAME?</v>
      </c>
    </row>
    <row r="50" spans="1:6" ht="26.5" x14ac:dyDescent="0.35">
      <c r="B50" s="87" t="s">
        <v>219</v>
      </c>
      <c r="C50" s="95" t="s">
        <v>220</v>
      </c>
      <c r="D50" s="88">
        <f>(D38+D40+D42+D44)*(1+G22)</f>
        <v>3.8426960835900008</v>
      </c>
      <c r="E50" t="e" cm="1">
        <f t="array" aca="1" ref="E50" ca="1">wrform(D50)</f>
        <v>#NAME?</v>
      </c>
    </row>
    <row r="51" spans="1:6" ht="26.5" x14ac:dyDescent="0.35">
      <c r="B51" s="89" t="s">
        <v>219</v>
      </c>
      <c r="C51" s="98" t="s">
        <v>220</v>
      </c>
      <c r="D51" s="99">
        <f>D39+(D39+D41+D43+D45)*G22</f>
        <v>1.8493566936390002</v>
      </c>
      <c r="E51" t="e" cm="1">
        <f t="array" aca="1" ref="E51" ca="1">wrform(D51)</f>
        <v>#NAME?</v>
      </c>
      <c r="F51" s="119" t="s">
        <v>221</v>
      </c>
    </row>
    <row r="52" spans="1:6" ht="49.5" x14ac:dyDescent="0.35">
      <c r="A52" s="200">
        <v>45832</v>
      </c>
      <c r="B52" s="96" t="s">
        <v>222</v>
      </c>
      <c r="C52" s="95" t="s">
        <v>223</v>
      </c>
      <c r="D52" s="85">
        <f>((VLOOKUP(G4,$O$6:$AA$16,11,FALSE)*2*11.24)/D48)^0.5</f>
        <v>2.1013818402953892</v>
      </c>
      <c r="E52" t="e" cm="1">
        <f t="array" aca="1" ref="E52" ca="1">wrform(D52)</f>
        <v>#NAME?</v>
      </c>
      <c r="F52" s="119"/>
    </row>
    <row r="53" spans="1:6" ht="49.5" x14ac:dyDescent="0.35">
      <c r="A53" s="200">
        <v>45832</v>
      </c>
      <c r="B53" s="97" t="s">
        <v>222</v>
      </c>
      <c r="C53" s="98" t="s">
        <v>223</v>
      </c>
      <c r="D53" s="99">
        <f>((VLOOKUP(G4,$O$6:$AA$16,11,FALSE)*2*11.24)/D49)^0.5</f>
        <v>3.0290933110506351</v>
      </c>
      <c r="E53" t="e" cm="1">
        <f t="array" aca="1" ref="E53" ca="1">wrform(D53)</f>
        <v>#NAME?</v>
      </c>
      <c r="F53" s="119" t="s">
        <v>224</v>
      </c>
    </row>
    <row r="54" spans="1:6" ht="49.5" x14ac:dyDescent="0.35">
      <c r="A54" s="200">
        <v>45832</v>
      </c>
      <c r="B54" s="96" t="s">
        <v>225</v>
      </c>
      <c r="C54" s="95" t="s">
        <v>226</v>
      </c>
      <c r="D54" s="88" t="str">
        <f>IF(SUM(G6,G7)=0,"NO BARS",((VLOOKUP(G6,$O$6:$AA$16,11,FALSE)*2*11.24)/D23)^0.5)</f>
        <v>NO BARS</v>
      </c>
      <c r="E54" t="e" cm="1">
        <f t="array" aca="1" ref="E54" ca="1">wrform(D54)</f>
        <v>#NAME?</v>
      </c>
    </row>
    <row r="55" spans="1:6" ht="49.5" x14ac:dyDescent="0.35">
      <c r="A55" s="200">
        <v>45832</v>
      </c>
      <c r="B55" s="97" t="s">
        <v>225</v>
      </c>
      <c r="C55" s="98" t="s">
        <v>226</v>
      </c>
      <c r="D55" s="99" t="str">
        <f>IF(SUM(G7,G8)=0,"NO BARS",((VLOOKUP(G6,$O$6:$AA$16,11,FALSE)*2*11.24)/D23)^0.5)</f>
        <v>NO BARS</v>
      </c>
      <c r="E55" t="e" cm="1">
        <f t="array" aca="1" ref="E55" ca="1">wrform(D55)</f>
        <v>#NAME?</v>
      </c>
    </row>
    <row r="56" spans="1:6" ht="49.5" x14ac:dyDescent="0.35">
      <c r="A56" s="200">
        <v>45832</v>
      </c>
      <c r="B56" s="96" t="s">
        <v>227</v>
      </c>
      <c r="C56" s="95" t="s">
        <v>228</v>
      </c>
      <c r="D56" s="88" t="str">
        <f>IF(SUM(G8,G9)=0,"NO BARS",((VLOOKUP(G8,$O$6:$AA$16,11,FALSE)*2*11.24)/D24)^0.5)</f>
        <v>NO BARS</v>
      </c>
      <c r="E56" t="e" cm="1">
        <f t="array" aca="1" ref="E56" ca="1">wrform(D56)</f>
        <v>#NAME?</v>
      </c>
    </row>
    <row r="57" spans="1:6" ht="49.5" x14ac:dyDescent="0.35">
      <c r="A57" s="200">
        <v>45832</v>
      </c>
      <c r="B57" s="97" t="s">
        <v>227</v>
      </c>
      <c r="C57" s="98" t="s">
        <v>228</v>
      </c>
      <c r="D57" s="99" t="str">
        <f>IF(SUM(G9,G10)=0,"NO BARS",((VLOOKUP(G8,$O$6:$AA$16,11,FALSE)*2*11.24)/D25)^0.5)</f>
        <v>NO BARS</v>
      </c>
      <c r="E57" t="e" cm="1">
        <f t="array" aca="1" ref="E57" ca="1">wrform(D57)</f>
        <v>#NAME?</v>
      </c>
    </row>
    <row r="58" spans="1:6" ht="49.5" x14ac:dyDescent="0.35">
      <c r="A58" s="200">
        <v>45832</v>
      </c>
      <c r="B58" s="96" t="s">
        <v>229</v>
      </c>
      <c r="C58" s="95" t="s">
        <v>230</v>
      </c>
      <c r="D58" s="88" t="str">
        <f>IF(SUM(G10,G11)=0,"NO BARS",((VLOOKUP(G10,$O$6:$AA$16,11,FALSE)*2*11.24)/D26)^0.5)</f>
        <v>NO BARS</v>
      </c>
      <c r="E58" t="str" cm="1">
        <f t="array" ref="E58">wrform(D58)</f>
        <v>IF(SUM(0,0)=0,"NO BARS",((VLOOKUP(0,0:0,11,FALSE)*2*11.24)/0)^0.5)</v>
      </c>
    </row>
    <row r="59" spans="1:6" ht="49.5" x14ac:dyDescent="0.35">
      <c r="A59" s="200">
        <v>45832</v>
      </c>
      <c r="B59" s="97" t="s">
        <v>229</v>
      </c>
      <c r="C59" s="98" t="s">
        <v>230</v>
      </c>
      <c r="D59" s="99" t="str">
        <f>IF(SUM(G10,G11)=0,"NO BARS",((VLOOKUP(G10,$O$6:$AA$16,11,FALSE)*2*11.24)/D27)^0.5)</f>
        <v>NO BARS</v>
      </c>
      <c r="E59" t="str" cm="1">
        <f t="array" ref="E59">wrform(D59)</f>
        <v>IF(SUM(0,0)=0,"NO BARS",((VLOOKUP(0,0:0,11,FALSE)*2*11.24)/0)^0.5)</v>
      </c>
    </row>
    <row r="60" spans="1:6" ht="26.5" x14ac:dyDescent="0.35">
      <c r="B60" s="97" t="s">
        <v>231</v>
      </c>
      <c r="C60" s="98" t="s">
        <v>232</v>
      </c>
      <c r="D60" s="99">
        <f>MIN(D53,D55,D57,D59)</f>
        <v>3.0290933110506351</v>
      </c>
      <c r="E60" t="e" cm="1">
        <f t="array" aca="1" ref="E60" ca="1">wrform(D60)</f>
        <v>#NAME?</v>
      </c>
    </row>
    <row r="61" spans="1:6" ht="49.5" x14ac:dyDescent="0.35">
      <c r="A61" s="200">
        <v>45832</v>
      </c>
      <c r="B61" s="100" t="s">
        <v>233</v>
      </c>
      <c r="C61" s="95" t="s">
        <v>234</v>
      </c>
      <c r="D61" s="85">
        <f>((IFERROR(VLOOKUP(G13,$O$6:$AA$16,11,FALSE)*2,0))*11.24/D50)^0.5</f>
        <v>2.1013818402953892</v>
      </c>
      <c r="E61" t="e" cm="1">
        <f t="array" aca="1" ref="E61" ca="1">wrform(D61)</f>
        <v>#NAME?</v>
      </c>
    </row>
    <row r="62" spans="1:6" ht="49.5" x14ac:dyDescent="0.35">
      <c r="A62" s="200">
        <v>45832</v>
      </c>
      <c r="B62" s="101" t="s">
        <v>233</v>
      </c>
      <c r="C62" s="98" t="s">
        <v>234</v>
      </c>
      <c r="D62" s="99">
        <f>((IFERROR(VLOOKUP(G13,$O$6:$AA$16,11,FALSE)*2,0))*11.24/D51)^0.5</f>
        <v>3.0290933110506351</v>
      </c>
      <c r="E62" t="e" cm="1">
        <f t="array" aca="1" ref="E62" ca="1">wrform(D62)</f>
        <v>#NAME?</v>
      </c>
    </row>
    <row r="63" spans="1:6" ht="49.5" x14ac:dyDescent="0.35">
      <c r="A63" s="200">
        <v>45832</v>
      </c>
      <c r="B63" s="100" t="s">
        <v>235</v>
      </c>
      <c r="C63" s="95" t="s">
        <v>236</v>
      </c>
      <c r="D63" s="88" t="str">
        <f>IF(SUM(G15,G16)=0,"NO BARS",((VLOOKUP(G15,$O$6:$AA$16,11,FALSE)*2*11.24)/D32)^0.5)</f>
        <v>NO BARS</v>
      </c>
      <c r="E63" t="e" cm="1">
        <f t="array" aca="1" ref="E63" ca="1">wrform(D63)</f>
        <v>#NAME?</v>
      </c>
    </row>
    <row r="64" spans="1:6" ht="49.5" x14ac:dyDescent="0.35">
      <c r="A64" s="200">
        <v>45832</v>
      </c>
      <c r="B64" s="101" t="s">
        <v>235</v>
      </c>
      <c r="C64" s="98" t="s">
        <v>236</v>
      </c>
      <c r="D64" s="99" t="str">
        <f>IF(SUM(G15,G16)=0,"NO BARS",((VLOOKUP(G15,$O$6:$AA$16,11,FALSE)*2*11.24)/D33)^0.5)</f>
        <v>NO BARS</v>
      </c>
      <c r="E64" t="e" cm="1">
        <f t="array" aca="1" ref="E64" ca="1">wrform(D64)</f>
        <v>#NAME?</v>
      </c>
    </row>
    <row r="65" spans="1:5" ht="48.4" customHeight="1" x14ac:dyDescent="0.35">
      <c r="A65" s="200">
        <v>45832</v>
      </c>
      <c r="B65" s="100" t="s">
        <v>237</v>
      </c>
      <c r="C65" s="95" t="s">
        <v>238</v>
      </c>
      <c r="D65" s="88" t="str">
        <f>IF(SUM(G17,G18)=0,"NO BARS",((VLOOKUP(G17,$O$6:$AA$16,11,FALSE)*2*11.24)/D34)^0.5)</f>
        <v>NO BARS</v>
      </c>
      <c r="E65" t="str" cm="1">
        <f t="array" ref="E65">wrform(D65)</f>
        <v>IF(SUM(0,0)=0,"NO BARS",((VLOOKUP(0,0:0,11,FALSE)*2*11.24)/0)^0.5)</v>
      </c>
    </row>
    <row r="66" spans="1:5" ht="49.5" x14ac:dyDescent="0.35">
      <c r="A66" s="200">
        <v>45832</v>
      </c>
      <c r="B66" s="101" t="s">
        <v>237</v>
      </c>
      <c r="C66" s="98" t="s">
        <v>238</v>
      </c>
      <c r="D66" s="99" t="str">
        <f>IF(SUM(G18,G19)=0,"NO BARS",((VLOOKUP(G18,$O$6:$AA$16,11,FALSE)*2*11.24)/D35)^0.5)</f>
        <v>NO BARS</v>
      </c>
      <c r="E66" t="str" cm="1">
        <f t="array" ref="E66">wrform(D66)</f>
        <v>IF(SUM(0,0)=0,"NO BARS",((VLOOKUP(0,0:0,11,FALSE)*2*11.24)/0)^0.5)</v>
      </c>
    </row>
    <row r="67" spans="1:5" ht="49.5" x14ac:dyDescent="0.35">
      <c r="A67" s="200">
        <v>45832</v>
      </c>
      <c r="B67" s="100" t="s">
        <v>239</v>
      </c>
      <c r="C67" s="95" t="s">
        <v>240</v>
      </c>
      <c r="D67" s="88" t="str">
        <f>IF(SUM(G19,G20)=0,"NO BARS",((VLOOKUP(G19,$O$6:$AA$16,11,FALSE)*2*11.24)/D36)^0.5)</f>
        <v>NO BARS</v>
      </c>
      <c r="E67" t="str" cm="1">
        <f t="array" ref="E67">wrform(D67)</f>
        <v>IF(SUM(0,0)=0,"NO BARS",((VLOOKUP(0,0:0,11,FALSE)*2*11.24)/0)^0.5)</v>
      </c>
    </row>
    <row r="68" spans="1:5" ht="49.5" x14ac:dyDescent="0.35">
      <c r="A68" s="200">
        <v>45832</v>
      </c>
      <c r="B68" s="101" t="s">
        <v>239</v>
      </c>
      <c r="C68" s="98" t="s">
        <v>240</v>
      </c>
      <c r="D68" s="99" t="str">
        <f>IF(SUM(G19,G20)=0,"NO BARS",((VLOOKUP(G19,$O$6:$AA$16,11,FALSE)*2*11.24)/D37)^0.5)</f>
        <v>NO BARS</v>
      </c>
      <c r="E68" t="e" cm="1">
        <f t="array" ref="E68">wrform(D68)</f>
        <v>#VALUE!</v>
      </c>
    </row>
    <row r="69" spans="1:5" ht="26.5" x14ac:dyDescent="0.35">
      <c r="B69" s="101" t="s">
        <v>241</v>
      </c>
      <c r="C69" s="98" t="s">
        <v>242</v>
      </c>
      <c r="D69" s="102">
        <f>MIN(D62,D64,D66, D68)</f>
        <v>3.0290933110506351</v>
      </c>
      <c r="E69" t="e" cm="1">
        <f t="array" aca="1" ref="E69" ca="1">wrform(D69)</f>
        <v>#NAME?</v>
      </c>
    </row>
    <row r="70" spans="1:5" ht="26.5" x14ac:dyDescent="0.35">
      <c r="B70" s="101" t="s">
        <v>243</v>
      </c>
      <c r="C70" s="103" t="s">
        <v>244</v>
      </c>
      <c r="D70" s="102">
        <f>MIN(D60,D69)</f>
        <v>3.0290933110506351</v>
      </c>
      <c r="E70" t="e" cm="1">
        <f t="array" aca="1" ref="E70" ca="1">wrform(D70)</f>
        <v>#NAME?</v>
      </c>
    </row>
    <row r="71" spans="1:5" ht="26" x14ac:dyDescent="0.35">
      <c r="B71" s="104" t="s">
        <v>245</v>
      </c>
      <c r="C71" s="105" t="s">
        <v>246</v>
      </c>
      <c r="D71" s="106">
        <f xml:space="preserve"> FLOOR(D70,0.2)</f>
        <v>3</v>
      </c>
      <c r="E71" t="e" cm="1">
        <f t="array" aca="1" ref="E71" ca="1">wrform(D71)</f>
        <v>#NAME?</v>
      </c>
    </row>
    <row r="72" spans="1:5" ht="52.5" x14ac:dyDescent="0.35">
      <c r="B72" s="100" t="s">
        <v>247</v>
      </c>
      <c r="C72" s="107" t="s">
        <v>248</v>
      </c>
      <c r="D72" s="168">
        <f>D48*D71*1.1</f>
        <v>12.680897075847003</v>
      </c>
      <c r="E72" t="e" cm="1">
        <f t="array" aca="1" ref="E72" ca="1">wrform(D72)</f>
        <v>#NAME?</v>
      </c>
    </row>
    <row r="73" spans="1:5" ht="52.5" x14ac:dyDescent="0.35">
      <c r="B73" s="100" t="s">
        <v>249</v>
      </c>
      <c r="C73" s="107" t="s">
        <v>250</v>
      </c>
      <c r="D73" s="168">
        <f>D50*D71*1.1</f>
        <v>12.680897075847003</v>
      </c>
      <c r="E73" t="e" cm="1">
        <f t="array" aca="1" ref="E73" ca="1">wrform(D73)</f>
        <v>#NAME?</v>
      </c>
    </row>
    <row r="74" spans="1:5" ht="39.5" x14ac:dyDescent="0.35">
      <c r="B74" s="100" t="s">
        <v>251</v>
      </c>
      <c r="C74" s="107" t="s">
        <v>252</v>
      </c>
      <c r="D74" s="74" t="str">
        <f>IF(AND(OR(D72&lt;VLOOKUP(G4,$O$6:$AA$16,12,FALSE),G4=0),OR(D73&lt;VLOOKUP(G13,$O$6:$AA$16,12,FALSE),G13=0)),"OK", "NOT OK")</f>
        <v>OK</v>
      </c>
      <c r="E74" t="e" cm="1">
        <f t="array" aca="1" ref="E74" ca="1">wrform(D74)</f>
        <v>#NAME?</v>
      </c>
    </row>
    <row r="75" spans="1:5" x14ac:dyDescent="0.35">
      <c r="B75" s="108"/>
      <c r="C75" s="109"/>
      <c r="E75" t="str" cm="1">
        <f t="array" ref="E75">wrform(D75)</f>
        <v/>
      </c>
    </row>
    <row r="76" spans="1:5" x14ac:dyDescent="0.35">
      <c r="C76" s="110"/>
      <c r="E76" t="str" cm="1">
        <f t="array" ref="E76">wrform(D76)</f>
        <v/>
      </c>
    </row>
    <row r="77" spans="1:5" ht="39.5" x14ac:dyDescent="0.35">
      <c r="B77" s="100" t="s">
        <v>253</v>
      </c>
      <c r="C77" s="95" t="s">
        <v>254</v>
      </c>
      <c r="D77" s="74">
        <f>COUNTIF(G4:G20,"&gt;0")</f>
        <v>4</v>
      </c>
      <c r="E77" t="e" cm="1">
        <f t="array" aca="1" ref="E77" ca="1">wrform(D77)</f>
        <v>#NAME?</v>
      </c>
    </row>
    <row r="78" spans="1:5" ht="78.5" x14ac:dyDescent="0.35">
      <c r="B78" s="72" t="s">
        <v>255</v>
      </c>
      <c r="C78" s="107" t="s">
        <v>256</v>
      </c>
      <c r="D78" s="158">
        <f>(G23*1000)-G32-G33-2*(VLOOKUP(G34,$O$3:$AD$16,2,FALSE))-(D77-2)*8-VLOOKUP(G4,$O$6:$P$16,2,FALSE)-VLOOKUP(G5,$O$6:$P$16,2,FALSE)-VLOOKUP(G6,$O$6:$P$16,2,FALSE)-VLOOKUP(G7,$O$6:$P$16,2,FALSE)-VLOOKUP(G8,$O$6:$P$16,2,FALSE)-VLOOKUP(G9,$O$6:$P$16,2,FALSE)-VLOOKUP(G10,$O$6:$P$16,2,FALSE)-VLOOKUP(G11,$O$6:$P$16,2,FALSE)-VLOOKUP(G13,$O$6:$P$16,2,FALSE)-VLOOKUP(G14,$O$6:$P$16,2,FALSE)-VLOOKUP(G15,$O$6:$P$16,2,FALSE)-VLOOKUP(G16,$O$6:$P$16,2,FALSE)-VLOOKUP(G17,$O$6:$P$16,2,FALSE)-VLOOKUP(G18,$O$6:$P$16,2,FALSE)-VLOOKUP(G19,$O$6:$P$16,2,FALSE)-VLOOKUP(G20,$O$6:$P$16,2,FALSE)</f>
        <v>210</v>
      </c>
      <c r="E78" t="e" cm="1">
        <f t="array" aca="1" ref="E78" ca="1">wrform(D78)</f>
        <v>#NAME?</v>
      </c>
    </row>
    <row r="79" spans="1:5" ht="78.5" x14ac:dyDescent="0.35">
      <c r="B79" s="72" t="s">
        <v>257</v>
      </c>
      <c r="C79" s="107" t="s">
        <v>258</v>
      </c>
      <c r="D79" s="74">
        <f>(G23*1000)-2*(60+19)-((D77-2)*42)-VLOOKUP(G4,$O$6:$P$16,2,FALSE)-VLOOKUP(G5,$O$6:$P$16,2,FALSE)-VLOOKUP(G6,$O$6:$P$16,2,FALSE)-VLOOKUP(G7,$O$6:$P$16,2,FALSE)-VLOOKUP(G8,$O$6:$P$16,2,FALSE)-VLOOKUP(G9,$O$6:$P$16,2,FALSE)-VLOOKUP(G10,$O$6:$P$16,2,FALSE)-VLOOKUP(G11,$O$6:$P$16,2,FALSE)-VLOOKUP(G13,$O$6:$P$16,2,FALSE)-VLOOKUP(G14,$O$6:$P$16,2,FALSE)-VLOOKUP(G15,$O$6:$P$16,2,FALSE)-VLOOKUP(G16,$O$6:$P$16,2,FALSE)-VLOOKUP(G17,$O$6:$P$16,2,FALSE)-VLOOKUP(G18,$O$6:$P$16,2,FALSE)-VLOOKUP(G19,$O$6:$P$16,2,FALSE)-VLOOKUP(G20,$O$6:$P$16,2,FALSE)</f>
        <v>142</v>
      </c>
      <c r="E79" t="e" cm="1">
        <f t="array" aca="1" ref="E79" ca="1">wrform(D79)</f>
        <v>#NAME?</v>
      </c>
    </row>
    <row r="80" spans="1:5" ht="37.4" customHeight="1" x14ac:dyDescent="0.35">
      <c r="B80" s="72" t="s">
        <v>259</v>
      </c>
      <c r="C80" s="107" t="s">
        <v>260</v>
      </c>
      <c r="D80" s="169">
        <f>H24</f>
        <v>25</v>
      </c>
      <c r="E80" t="str" cm="1">
        <f t="array" ref="E80">wrform(D80)</f>
        <v>0</v>
      </c>
    </row>
    <row r="81" spans="2:5" x14ac:dyDescent="0.35">
      <c r="B81" s="72" t="s">
        <v>261</v>
      </c>
      <c r="C81" s="107" t="s">
        <v>262</v>
      </c>
      <c r="D81" s="111">
        <f>((1500-200)^2-(D78/2)^2)^0.5</f>
        <v>1295.7526770182649</v>
      </c>
      <c r="E81" t="e" cm="1">
        <f t="array" aca="1" ref="E81" ca="1">wrform(D81)</f>
        <v>#NAME?</v>
      </c>
    </row>
    <row r="82" spans="2:5" x14ac:dyDescent="0.35">
      <c r="B82" s="72" t="s">
        <v>263</v>
      </c>
      <c r="C82" s="107" t="s">
        <v>264</v>
      </c>
      <c r="D82" s="111">
        <f>((2500-200)^2-(D79/2)^2)^0.5</f>
        <v>2298.9038692385552</v>
      </c>
      <c r="E82" t="e" cm="1">
        <f t="array" aca="1" ref="E82" ca="1">wrform(D82)</f>
        <v>#NAME?</v>
      </c>
    </row>
    <row r="83" spans="2:5" x14ac:dyDescent="0.35">
      <c r="B83" s="130" t="s">
        <v>265</v>
      </c>
      <c r="C83" s="131" t="s">
        <v>266</v>
      </c>
      <c r="D83" s="102">
        <f>((3000-187)^2-((D78/2-65))^2)^0.5</f>
        <v>2812.715591736925</v>
      </c>
      <c r="E83" t="e" cm="1">
        <f t="array" aca="1" ref="E83" ca="1">wrform(D83)</f>
        <v>#NAME?</v>
      </c>
    </row>
    <row r="84" spans="2:5" ht="40.5" x14ac:dyDescent="0.45">
      <c r="B84" s="72" t="s">
        <v>267</v>
      </c>
      <c r="C84" s="107" t="s">
        <v>268</v>
      </c>
      <c r="D84" s="168">
        <f xml:space="preserve"> MAX(D72,D73)*((D78/2)/D81)*1.2/1.3</f>
        <v>0.94853870228092552</v>
      </c>
      <c r="E84" t="e" cm="1">
        <f t="array" aca="1" ref="E84" ca="1">wrform(D84)</f>
        <v>#NAME?</v>
      </c>
    </row>
    <row r="85" spans="2:5" ht="40.5" x14ac:dyDescent="0.45">
      <c r="B85" s="72" t="s">
        <v>269</v>
      </c>
      <c r="C85" s="107" t="s">
        <v>268</v>
      </c>
      <c r="D85" s="111">
        <f xml:space="preserve"> MAX(D72,D73)*((D79/2)/D82)*1.2/1.3</f>
        <v>0.36151424006862071</v>
      </c>
      <c r="E85" t="e" cm="1">
        <f t="array" aca="1" ref="E85" ca="1">wrform(D85)</f>
        <v>#NAME?</v>
      </c>
    </row>
    <row r="86" spans="2:5" ht="40.5" x14ac:dyDescent="0.45">
      <c r="B86" s="72" t="s">
        <v>270</v>
      </c>
      <c r="C86" s="107" t="s">
        <v>268</v>
      </c>
      <c r="D86" s="168">
        <f xml:space="preserve"> MAX(D72,D73)*((D78/2)/D83)</f>
        <v>0.47338387033354584</v>
      </c>
      <c r="E86" t="e" cm="1">
        <f t="array" aca="1" ref="E86" ca="1">wrform(D86)</f>
        <v>#NAME?</v>
      </c>
    </row>
    <row r="87" spans="2:5" x14ac:dyDescent="0.35">
      <c r="B87" s="72" t="s">
        <v>271</v>
      </c>
      <c r="C87" s="107" t="s">
        <v>272</v>
      </c>
      <c r="D87" s="169">
        <f>D78-(VLOOKUP(D80,$O$6:$AE$16,17,FALSE)*2)</f>
        <v>110</v>
      </c>
      <c r="E87" t="e" cm="1">
        <f t="array" aca="1" ref="E87" ca="1">wrform(D87)</f>
        <v>#NAME?</v>
      </c>
    </row>
    <row r="88" spans="2:5" ht="16" x14ac:dyDescent="0.5">
      <c r="B88" s="72" t="s">
        <v>273</v>
      </c>
      <c r="C88" s="107" t="s">
        <v>274</v>
      </c>
      <c r="D88" s="74">
        <f>((PI()^2)*VLOOKUP(D80,$O$6:$Y$16,6,FALSE)/(D87/1000)^2)</f>
        <v>3206.2558106787624</v>
      </c>
      <c r="E88" t="e" cm="1">
        <f t="array" aca="1" ref="E88" ca="1">wrform(D88)</f>
        <v>#NAME?</v>
      </c>
    </row>
    <row r="89" spans="2:5" ht="16.5" x14ac:dyDescent="0.35">
      <c r="B89" s="72" t="s">
        <v>275</v>
      </c>
      <c r="C89" s="107" t="s">
        <v>276</v>
      </c>
      <c r="D89" s="74">
        <f>((VLOOKUP(D80,$O$6:$AA$16,4,FALSE)*$T$2)/(D88*1000))^0.5</f>
        <v>0.25806582335404266</v>
      </c>
      <c r="E89" t="e" cm="1">
        <f t="array" aca="1" ref="E89" ca="1">wrform(D89)</f>
        <v>#NAME?</v>
      </c>
    </row>
    <row r="90" spans="2:5" ht="16.5" x14ac:dyDescent="0.35">
      <c r="B90" s="72" t="s">
        <v>277</v>
      </c>
      <c r="C90" s="132" t="s">
        <v>278</v>
      </c>
      <c r="D90" s="74">
        <f>0.5*(1+0.49*(D89-0.2)+D89^2)</f>
        <v>0.54752511131344039</v>
      </c>
      <c r="E90" t="e" cm="1">
        <f t="array" aca="1" ref="E90" ca="1">wrform(D90)</f>
        <v>#NAME?</v>
      </c>
    </row>
    <row r="91" spans="2:5" x14ac:dyDescent="0.35">
      <c r="B91" s="72" t="s">
        <v>279</v>
      </c>
      <c r="C91" s="132" t="s">
        <v>279</v>
      </c>
      <c r="D91" s="74">
        <f>1/(D90+(D90^2-D89^2)^0.5)</f>
        <v>0.97047971062209748</v>
      </c>
      <c r="E91" t="e" cm="1">
        <f t="array" aca="1" ref="E91" ca="1">wrform(D91)</f>
        <v>#NAME?</v>
      </c>
    </row>
    <row r="92" spans="2:5" x14ac:dyDescent="0.35">
      <c r="B92" s="72" t="s">
        <v>280</v>
      </c>
      <c r="C92" s="132" t="s">
        <v>280</v>
      </c>
      <c r="D92" s="74">
        <f>D91*(VLOOKUP(D80,$O$6:$AA$16,4,FALSE))*($T$2)/1000</f>
        <v>207.22665457289429</v>
      </c>
      <c r="E92" t="e" cm="1">
        <f t="array" aca="1" ref="E92" ca="1">wrform(D92)</f>
        <v>#NAME?</v>
      </c>
    </row>
    <row r="93" spans="2:5" x14ac:dyDescent="0.35">
      <c r="B93" s="72" t="s">
        <v>281</v>
      </c>
      <c r="C93" s="132" t="s">
        <v>282</v>
      </c>
      <c r="D93" s="168">
        <f>IF(G23&lt;=2.2,MAX(D84,D85,D86),MAX(D85,D86))</f>
        <v>0.94853870228092552</v>
      </c>
      <c r="E93" t="e" cm="1">
        <f t="array" aca="1" ref="E93" ca="1">wrform(D93)</f>
        <v>#NAME?</v>
      </c>
    </row>
    <row r="94" spans="2:5" x14ac:dyDescent="0.35">
      <c r="B94" s="72" t="s">
        <v>283</v>
      </c>
      <c r="C94" s="132" t="s">
        <v>284</v>
      </c>
      <c r="D94" s="74">
        <f>D93/D92</f>
        <v>4.5773006577552334E-3</v>
      </c>
      <c r="E94" t="e" cm="1">
        <f t="array" aca="1" ref="E94" ca="1">wrform(D94)</f>
        <v>#NAME?</v>
      </c>
    </row>
    <row r="95" spans="2:5" ht="29" x14ac:dyDescent="0.35">
      <c r="B95" s="72" t="s">
        <v>285</v>
      </c>
      <c r="C95" s="133" t="s">
        <v>286</v>
      </c>
      <c r="D95" s="74">
        <f>D87+VLOOKUP(D80,$O$6:$AA$16,2,FALSE)+VLOOKUP(D80,$O$6:$AA$16,13,FALSE)</f>
        <v>226</v>
      </c>
      <c r="E95" t="e" cm="1">
        <f t="array" aca="1" ref="E95" ca="1">wrform(D95)</f>
        <v>#NAME?</v>
      </c>
    </row>
    <row r="96" spans="2:5" ht="29" x14ac:dyDescent="0.35">
      <c r="B96" s="72" t="s">
        <v>287</v>
      </c>
      <c r="C96" s="133" t="s">
        <v>288</v>
      </c>
      <c r="D96" s="74">
        <f>(VLOOKUP(D80,$O$6:$AE$16,3,FALSE))*(9.81*1.35/1000)*(D87/1000)^2/8</f>
        <v>7.7198679112500015E-5</v>
      </c>
      <c r="E96" t="e" cm="1">
        <f t="array" aca="1" ref="E96" ca="1">wrform(D96)</f>
        <v>#NAME?</v>
      </c>
    </row>
    <row r="97" spans="2:5" ht="29" x14ac:dyDescent="0.35">
      <c r="B97" s="72" t="s">
        <v>289</v>
      </c>
      <c r="C97" s="133" t="s">
        <v>290</v>
      </c>
      <c r="D97" s="74">
        <f>D96/VLOOKUP(D80,$O$6:$AA$16,11,FALSE)</f>
        <v>1.0227281008824002E-4</v>
      </c>
      <c r="E97" t="e" cm="1">
        <f t="array" aca="1" ref="E97" ca="1">wrform(D97)</f>
        <v>#NAME?</v>
      </c>
    </row>
    <row r="98" spans="2:5" x14ac:dyDescent="0.35">
      <c r="B98" s="134" t="s">
        <v>291</v>
      </c>
      <c r="C98" s="134" t="s">
        <v>291</v>
      </c>
      <c r="D98" s="169">
        <f>D94+D97</f>
        <v>4.6795734678434734E-3</v>
      </c>
      <c r="E98" t="e" cm="1">
        <f t="array" aca="1" ref="E98" ca="1">wrform(D98)</f>
        <v>#NAME?</v>
      </c>
    </row>
    <row r="99" spans="2:5" x14ac:dyDescent="0.35">
      <c r="B99" s="72" t="s">
        <v>292</v>
      </c>
      <c r="C99" s="133" t="s">
        <v>292</v>
      </c>
      <c r="D99" s="74" t="str">
        <f>IF(OR(D98&lt;1),"OK","NOT OK")</f>
        <v>OK</v>
      </c>
      <c r="E99" t="e" cm="1">
        <f t="array" aca="1" ref="E99" ca="1">wrform(D99)</f>
        <v>#NAME?</v>
      </c>
    </row>
    <row r="100" spans="2:5" x14ac:dyDescent="0.35">
      <c r="B100" s="112"/>
      <c r="C100" s="26" t="s">
        <v>99</v>
      </c>
      <c r="E100" t="str" cm="1">
        <f t="array" ref="E100">wrform(D100)</f>
        <v/>
      </c>
    </row>
    <row r="101" spans="2:5" ht="39.5" x14ac:dyDescent="0.35">
      <c r="B101" s="72" t="s">
        <v>293</v>
      </c>
      <c r="C101" s="107" t="s">
        <v>294</v>
      </c>
      <c r="D101" s="74">
        <f>I24</f>
        <v>25</v>
      </c>
      <c r="E101" t="str" cm="1">
        <f t="array" ref="E101">wrform(D101)</f>
        <v>0</v>
      </c>
    </row>
    <row r="102" spans="2:5" ht="44" x14ac:dyDescent="0.55000000000000004">
      <c r="B102" s="72" t="s">
        <v>295</v>
      </c>
      <c r="C102" s="133" t="s">
        <v>296</v>
      </c>
      <c r="D102" s="111">
        <f>MAX(D72,D73)*0.025*2^0.5</f>
        <v>0.44833741569300395</v>
      </c>
      <c r="E102" t="e" cm="1">
        <f t="array" aca="1" ref="E102" ca="1">wrform(D102)</f>
        <v>#NAME?</v>
      </c>
    </row>
    <row r="103" spans="2:5" ht="28.5" customHeight="1" x14ac:dyDescent="0.55000000000000004">
      <c r="B103" s="72" t="s">
        <v>297</v>
      </c>
      <c r="C103" s="133" t="s">
        <v>298</v>
      </c>
      <c r="D103" s="111">
        <f>MAX(D72,D73)*0.025*1.1547</f>
        <v>0.36606579633701342</v>
      </c>
      <c r="E103" t="e" cm="1">
        <f t="array" aca="1" ref="E103" ca="1">wrform(D103)</f>
        <v>#NAME?</v>
      </c>
    </row>
    <row r="104" spans="2:5" ht="28.5" customHeight="1" x14ac:dyDescent="0.55000000000000004">
      <c r="B104" s="72" t="s">
        <v>299</v>
      </c>
      <c r="C104" s="133" t="s">
        <v>300</v>
      </c>
      <c r="D104" s="168">
        <f>MAX(D72,D73)*0.025*2</f>
        <v>0.6340448537923502</v>
      </c>
      <c r="E104" t="e" cm="1">
        <f t="array" aca="1" ref="E104" ca="1">wrform(D104)</f>
        <v>#NAME?</v>
      </c>
    </row>
    <row r="105" spans="2:5" ht="41.5" x14ac:dyDescent="0.35">
      <c r="B105" s="72" t="s">
        <v>301</v>
      </c>
      <c r="C105" s="133" t="s">
        <v>302</v>
      </c>
      <c r="D105" s="74">
        <f>((D78*2^0.5)-2*(VLOOKUP(D101,$O$6:$AD$16,14,FALSE)))/1000</f>
        <v>7.098484809834997E-2</v>
      </c>
      <c r="E105" t="e" cm="1">
        <f t="array" aca="1" ref="E105" ca="1">wrform(D105)</f>
        <v>#NAME?</v>
      </c>
    </row>
    <row r="106" spans="2:5" ht="41.5" x14ac:dyDescent="0.35">
      <c r="B106" s="72" t="s">
        <v>303</v>
      </c>
      <c r="C106" s="133" t="s">
        <v>304</v>
      </c>
      <c r="D106" s="74">
        <f>((D78*1.1547)-2*(VLOOKUP(D101,$O$6:$AD$16,15,FALSE)))/1000</f>
        <v>3.2487000000000023E-2</v>
      </c>
      <c r="E106" t="e" cm="1">
        <f t="array" aca="1" ref="E106" ca="1">wrform(D106)</f>
        <v>#NAME?</v>
      </c>
    </row>
    <row r="107" spans="2:5" ht="40" x14ac:dyDescent="0.35">
      <c r="B107" s="72" t="s">
        <v>305</v>
      </c>
      <c r="C107" s="133" t="s">
        <v>306</v>
      </c>
      <c r="D107" s="169">
        <f>((D78*2)-2*(VLOOKUP(D101,$O$6:$AD$16,16,FALSE)))/1000</f>
        <v>0.16200000000000001</v>
      </c>
      <c r="E107" t="e" cm="1">
        <f t="array" aca="1" ref="E107" ca="1">wrform(D107)</f>
        <v>#NAME?</v>
      </c>
    </row>
    <row r="108" spans="2:5" x14ac:dyDescent="0.35">
      <c r="B108" s="72"/>
      <c r="C108" s="133"/>
      <c r="D108" s="74"/>
      <c r="E108" t="str" cm="1">
        <f t="array" ref="E108">wrform(D108)</f>
        <v/>
      </c>
    </row>
    <row r="109" spans="2:5" ht="17" x14ac:dyDescent="0.55000000000000004">
      <c r="B109" s="72" t="s">
        <v>307</v>
      </c>
      <c r="C109" s="107" t="s">
        <v>274</v>
      </c>
      <c r="D109" s="74">
        <f>(PI()^2)*VLOOKUP(D101,$O$6:$T$16,6,FALSE)/(D105^2)</f>
        <v>7699.3174295315912</v>
      </c>
      <c r="E109" t="e" cm="1">
        <f t="array" aca="1" ref="E109" ca="1">wrform(D109)</f>
        <v>#NAME?</v>
      </c>
    </row>
    <row r="110" spans="2:5" ht="17" x14ac:dyDescent="0.55000000000000004">
      <c r="B110" s="72" t="s">
        <v>308</v>
      </c>
      <c r="C110" s="107" t="s">
        <v>276</v>
      </c>
      <c r="D110" s="74">
        <f>((VLOOKUP(D101,$O$6:$AA$16,4,FALSE)*$T$2)/(D109*1000))^0.5</f>
        <v>0.16653421154693032</v>
      </c>
      <c r="E110" t="e" cm="1">
        <f t="array" aca="1" ref="E110" ca="1">wrform(D110)</f>
        <v>#NAME?</v>
      </c>
    </row>
    <row r="111" spans="2:5" ht="18.5" x14ac:dyDescent="0.55000000000000004">
      <c r="B111" s="72" t="s">
        <v>309</v>
      </c>
      <c r="C111" s="132" t="s">
        <v>278</v>
      </c>
      <c r="D111" s="74">
        <f>0.5*(1+0.49*(D110-0.2)+D110^2)</f>
        <v>0.50566770363677682</v>
      </c>
      <c r="E111" t="e" cm="1">
        <f t="array" aca="1" ref="E111" ca="1">wrform(D111)</f>
        <v>#NAME?</v>
      </c>
    </row>
    <row r="112" spans="2:5" ht="17" x14ac:dyDescent="0.55000000000000004">
      <c r="B112" s="72" t="s">
        <v>310</v>
      </c>
      <c r="C112" s="132" t="s">
        <v>279</v>
      </c>
      <c r="D112" s="74">
        <f>1/(D111+(D111^2-D110^2)^0.5)</f>
        <v>1.0171638809752181</v>
      </c>
      <c r="E112" t="e" cm="1">
        <f t="array" aca="1" ref="E112" ca="1">wrform(D112)</f>
        <v>#NAME?</v>
      </c>
    </row>
    <row r="113" spans="2:5" ht="17" x14ac:dyDescent="0.55000000000000004">
      <c r="B113" s="72" t="s">
        <v>311</v>
      </c>
      <c r="C113" s="132" t="s">
        <v>280</v>
      </c>
      <c r="D113" s="74">
        <f>(D112*(VLOOKUP(D101,$O$6:$AA$16,4,FALSE))*$T$2)/1000</f>
        <v>217.19513133536771</v>
      </c>
      <c r="E113" t="e" cm="1">
        <f t="array" aca="1" ref="E113" ca="1">wrform(D113)</f>
        <v>#NAME?</v>
      </c>
    </row>
    <row r="114" spans="2:5" ht="41.5" customHeight="1" x14ac:dyDescent="0.55000000000000004">
      <c r="B114" s="72" t="s">
        <v>312</v>
      </c>
      <c r="C114" s="107" t="s">
        <v>274</v>
      </c>
      <c r="D114" s="74">
        <f>(PI()^2)*VLOOKUP(D101,$O$6:$T$16,6,FALSE)/(D106^2)</f>
        <v>36759.053725283557</v>
      </c>
      <c r="E114" t="e" cm="1">
        <f t="array" aca="1" ref="E114" ca="1">wrform(D114)</f>
        <v>#NAME?</v>
      </c>
    </row>
    <row r="115" spans="2:5" ht="17" x14ac:dyDescent="0.55000000000000004">
      <c r="B115" s="72" t="s">
        <v>313</v>
      </c>
      <c r="C115" s="107" t="s">
        <v>276</v>
      </c>
      <c r="D115" s="74">
        <f>((VLOOKUP(D101,$O$6:$AA$16,4,FALSE)*$T$2)/(D114*1000))^0.5</f>
        <v>7.6216221848207186E-2</v>
      </c>
      <c r="E115" t="e" cm="1">
        <f t="array" aca="1" ref="E115" ca="1">wrform(D115)</f>
        <v>#NAME?</v>
      </c>
    </row>
    <row r="116" spans="2:5" ht="18.5" x14ac:dyDescent="0.55000000000000004">
      <c r="B116" s="72" t="s">
        <v>314</v>
      </c>
      <c r="C116" s="132" t="s">
        <v>278</v>
      </c>
      <c r="D116" s="74">
        <f>0.5*(1+0.49*(D115-0.2)+D115^2)</f>
        <v>0.47257743058921831</v>
      </c>
      <c r="E116" t="e" cm="1">
        <f t="array" aca="1" ref="E116" ca="1">wrform(D116)</f>
        <v>#NAME?</v>
      </c>
    </row>
    <row r="117" spans="2:5" ht="17" x14ac:dyDescent="0.55000000000000004">
      <c r="B117" s="72" t="s">
        <v>315</v>
      </c>
      <c r="C117" s="132" t="s">
        <v>279</v>
      </c>
      <c r="D117" s="74">
        <f>1/(D116+(D116^2-D115^2)^0.5)</f>
        <v>1.0649985919478324</v>
      </c>
      <c r="E117" t="e" cm="1">
        <f t="array" aca="1" ref="E117" ca="1">wrform(D117)</f>
        <v>#NAME?</v>
      </c>
    </row>
    <row r="118" spans="2:5" ht="17" x14ac:dyDescent="0.55000000000000004">
      <c r="B118" s="72" t="s">
        <v>316</v>
      </c>
      <c r="C118" s="132" t="s">
        <v>280</v>
      </c>
      <c r="D118" s="74">
        <f>(D117*(VLOOKUP(D101,$O$6:$AA$16,4,FALSE))*$T$2)/1000</f>
        <v>227.40928318091423</v>
      </c>
      <c r="E118" t="e" cm="1">
        <f t="array" aca="1" ref="E118" ca="1">wrform(D118)</f>
        <v>#NAME?</v>
      </c>
    </row>
    <row r="119" spans="2:5" ht="38.65" customHeight="1" x14ac:dyDescent="0.55000000000000004">
      <c r="B119" s="72" t="s">
        <v>317</v>
      </c>
      <c r="C119" s="107" t="s">
        <v>274</v>
      </c>
      <c r="D119" s="74">
        <f>(PI()^2)*VLOOKUP(D101,$O$6:$T$16,6,FALSE)/(D107^2)</f>
        <v>1478.2691399639164</v>
      </c>
      <c r="E119" t="e" cm="1">
        <f t="array" aca="1" ref="E119" ca="1">wrform(D119)</f>
        <v>#NAME?</v>
      </c>
    </row>
    <row r="120" spans="2:5" ht="17" x14ac:dyDescent="0.55000000000000004">
      <c r="B120" s="72" t="s">
        <v>318</v>
      </c>
      <c r="C120" s="107" t="s">
        <v>276</v>
      </c>
      <c r="D120" s="74">
        <f>((VLOOKUP(D101,$O$6:$AA$16,4,FALSE)*$T$2)/(D119*1000))^0.5</f>
        <v>0.38006057621231742</v>
      </c>
      <c r="E120" t="e" cm="1">
        <f t="array" aca="1" ref="E120" ca="1">wrform(D120)</f>
        <v>#NAME?</v>
      </c>
    </row>
    <row r="121" spans="2:5" ht="18.5" x14ac:dyDescent="0.55000000000000004">
      <c r="B121" s="72" t="s">
        <v>319</v>
      </c>
      <c r="C121" s="132" t="s">
        <v>278</v>
      </c>
      <c r="D121" s="74">
        <f>0.5*(1+0.49*(D120-0.2)+D120^2)</f>
        <v>0.61633786196743712</v>
      </c>
      <c r="E121" t="e" cm="1">
        <f t="array" aca="1" ref="E121" ca="1">wrform(D121)</f>
        <v>#NAME?</v>
      </c>
    </row>
    <row r="122" spans="2:5" ht="17" x14ac:dyDescent="0.55000000000000004">
      <c r="B122" s="72" t="s">
        <v>320</v>
      </c>
      <c r="C122" s="132" t="s">
        <v>279</v>
      </c>
      <c r="D122" s="74">
        <f>1/(D121+(D121^2-D120^2)^0.5)</f>
        <v>0.90781554179057566</v>
      </c>
      <c r="E122" t="e" cm="1">
        <f t="array" aca="1" ref="E122" ca="1">wrform(D122)</f>
        <v>#NAME?</v>
      </c>
    </row>
    <row r="123" spans="2:5" ht="17" x14ac:dyDescent="0.55000000000000004">
      <c r="B123" s="72" t="s">
        <v>321</v>
      </c>
      <c r="C123" s="132" t="s">
        <v>280</v>
      </c>
      <c r="D123" s="74">
        <f>(D122*(VLOOKUP(D101,$O$6:$AA$16,4,FALSE))*$T$2)/1000</f>
        <v>193.84596672706266</v>
      </c>
      <c r="E123" t="e" cm="1">
        <f t="array" aca="1" ref="E123" ca="1">wrform(D123)</f>
        <v>#NAME?</v>
      </c>
    </row>
    <row r="124" spans="2:5" ht="17" x14ac:dyDescent="0.55000000000000004">
      <c r="B124" s="72" t="s">
        <v>322</v>
      </c>
      <c r="C124" s="132" t="s">
        <v>284</v>
      </c>
      <c r="D124" s="74">
        <f>D102/D113</f>
        <v>2.0642148511180619E-3</v>
      </c>
      <c r="E124" t="e" cm="1">
        <f t="array" aca="1" ref="E124" ca="1">wrform(D124)</f>
        <v>#NAME?</v>
      </c>
    </row>
    <row r="125" spans="2:5" ht="17" x14ac:dyDescent="0.55000000000000004">
      <c r="B125" s="72" t="s">
        <v>323</v>
      </c>
      <c r="C125" s="132" t="s">
        <v>284</v>
      </c>
      <c r="D125" s="74">
        <f>D103/D118</f>
        <v>1.6097223086789811E-3</v>
      </c>
      <c r="E125" t="e" cm="1">
        <f t="array" aca="1" ref="E125" ca="1">wrform(D125)</f>
        <v>#NAME?</v>
      </c>
    </row>
    <row r="126" spans="2:5" ht="17" x14ac:dyDescent="0.55000000000000004">
      <c r="B126" s="72" t="s">
        <v>324</v>
      </c>
      <c r="C126" s="132" t="s">
        <v>284</v>
      </c>
      <c r="D126" s="74">
        <f>D104/D123</f>
        <v>3.2708694666064042E-3</v>
      </c>
      <c r="E126" t="e" cm="1">
        <f t="array" aca="1" ref="E126" ca="1">wrform(D126)</f>
        <v>#NAME?</v>
      </c>
    </row>
    <row r="127" spans="2:5" ht="33.5" x14ac:dyDescent="0.55000000000000004">
      <c r="B127" s="72" t="s">
        <v>325</v>
      </c>
      <c r="C127" s="133" t="s">
        <v>326</v>
      </c>
      <c r="D127" s="74">
        <f>(VLOOKUP(D101,$O$4:$Q$16,3,FALSE)*9.81*1.35/1000)*(D105^2/8)</f>
        <v>3.2148137253283349E-5</v>
      </c>
      <c r="E127" t="e" cm="1">
        <f t="array" aca="1" ref="E127" ca="1">wrform(D127)</f>
        <v>#NAME?</v>
      </c>
    </row>
    <row r="128" spans="2:5" ht="31" x14ac:dyDescent="0.55000000000000004">
      <c r="B128" s="72" t="s">
        <v>327</v>
      </c>
      <c r="C128" s="133" t="s">
        <v>328</v>
      </c>
      <c r="D128" s="74">
        <f>(VLOOKUP(D101,$O$4:$Q$16,3,FALSE)*9.81*1.35/1000)*(D106^2/8)</f>
        <v>6.7335442128351201E-6</v>
      </c>
      <c r="E128" t="e" cm="1">
        <f t="array" aca="1" ref="E128" ca="1">wrform(D128)</f>
        <v>#NAME?</v>
      </c>
    </row>
    <row r="129" spans="2:5" ht="31" x14ac:dyDescent="0.55000000000000004">
      <c r="B129" s="72" t="s">
        <v>329</v>
      </c>
      <c r="C129" s="133" t="s">
        <v>330</v>
      </c>
      <c r="D129" s="169">
        <f>(VLOOKUP(D101,$O$4:$Q$16,3,FALSE)*9.81*1.35/1000)*(D107^2/8)</f>
        <v>1.6743819294450004E-4</v>
      </c>
      <c r="E129" t="e" cm="1">
        <f t="array" aca="1" ref="E129" ca="1">wrform(D129)</f>
        <v>#NAME?</v>
      </c>
    </row>
    <row r="130" spans="2:5" ht="31" x14ac:dyDescent="0.55000000000000004">
      <c r="B130" s="72" t="s">
        <v>331</v>
      </c>
      <c r="C130" s="133" t="s">
        <v>290</v>
      </c>
      <c r="D130" s="74">
        <f>D127/(VLOOKUP(D101,$O$6:$AA$16,11,FALSE))</f>
        <v>4.2589852233149782E-5</v>
      </c>
      <c r="E130" t="e" cm="1">
        <f t="array" aca="1" ref="E130" ca="1">wrform(D130)</f>
        <v>#NAME?</v>
      </c>
    </row>
    <row r="131" spans="2:5" ht="17" x14ac:dyDescent="0.35">
      <c r="B131" s="159" t="s">
        <v>332</v>
      </c>
      <c r="C131" s="134" t="s">
        <v>332</v>
      </c>
      <c r="D131" s="158">
        <f>D124+D130</f>
        <v>2.1068047033512118E-3</v>
      </c>
      <c r="E131" t="e" cm="1">
        <f t="array" aca="1" ref="E131" ca="1">wrform(D131)</f>
        <v>#NAME?</v>
      </c>
    </row>
    <row r="132" spans="2:5" ht="31" x14ac:dyDescent="0.55000000000000004">
      <c r="B132" s="72" t="s">
        <v>333</v>
      </c>
      <c r="C132" s="133" t="s">
        <v>290</v>
      </c>
      <c r="D132" s="74">
        <f>D128/(VLOOKUP(D101,$O$6:$AA$16,11,FALSE))</f>
        <v>8.9205993731639677E-6</v>
      </c>
      <c r="E132" t="e" cm="1">
        <f t="array" aca="1" ref="E132" ca="1">wrform(D132)</f>
        <v>#NAME?</v>
      </c>
    </row>
    <row r="133" spans="2:5" ht="17" x14ac:dyDescent="0.35">
      <c r="B133" s="159" t="s">
        <v>334</v>
      </c>
      <c r="C133" s="134" t="s">
        <v>334</v>
      </c>
      <c r="D133" s="158">
        <f>D125+D132</f>
        <v>1.618642908052145E-3</v>
      </c>
      <c r="E133" t="e" cm="1">
        <f t="array" aca="1" ref="E133" ca="1">wrform(D133)</f>
        <v>#NAME?</v>
      </c>
    </row>
    <row r="134" spans="2:5" ht="31" x14ac:dyDescent="0.55000000000000004">
      <c r="B134" s="72" t="s">
        <v>335</v>
      </c>
      <c r="C134" s="133" t="s">
        <v>290</v>
      </c>
      <c r="D134" s="74">
        <f>D129/(VLOOKUP(D101,$O$6:$AA$16,11,FALSE))</f>
        <v>2.2182211801287363E-4</v>
      </c>
      <c r="E134" t="e" cm="1">
        <f t="array" aca="1" ref="E134" ca="1">wrform(D134)</f>
        <v>#NAME?</v>
      </c>
    </row>
    <row r="135" spans="2:5" ht="23.15" customHeight="1" x14ac:dyDescent="0.35">
      <c r="B135" s="159" t="s">
        <v>336</v>
      </c>
      <c r="C135" s="134" t="s">
        <v>336</v>
      </c>
      <c r="D135" s="158">
        <f>D126+D134</f>
        <v>3.4926915846192779E-3</v>
      </c>
      <c r="E135" t="e" cm="1">
        <f t="array" aca="1" ref="E135" ca="1">wrform(D135)</f>
        <v>#NAME?</v>
      </c>
    </row>
    <row r="136" spans="2:5" ht="23.15" customHeight="1" x14ac:dyDescent="0.35">
      <c r="B136" s="159" t="s">
        <v>337</v>
      </c>
      <c r="C136" s="134" t="s">
        <v>337</v>
      </c>
      <c r="D136" s="169">
        <f>MAX(D131,D133,D135)</f>
        <v>3.4926915846192779E-3</v>
      </c>
      <c r="E136" t="e" cm="1">
        <f t="array" aca="1" ref="E136" ca="1">wrform(D136)</f>
        <v>#NAME?</v>
      </c>
    </row>
    <row r="137" spans="2:5" x14ac:dyDescent="0.35">
      <c r="B137" s="72" t="s">
        <v>292</v>
      </c>
      <c r="C137" s="133" t="s">
        <v>292</v>
      </c>
      <c r="D137" s="74" t="str">
        <f>IF(OR(D136&lt;1),"OK","NOT OK")</f>
        <v>OK</v>
      </c>
      <c r="E137" t="e" cm="1">
        <f t="array" aca="1" ref="E137" ca="1">wrform(D137)</f>
        <v>#NAME?</v>
      </c>
    </row>
    <row r="138" spans="2:5" x14ac:dyDescent="0.35">
      <c r="B138" s="113"/>
      <c r="E138" t="str" cm="1">
        <f t="array" ref="E138">wrform(D138)</f>
        <v/>
      </c>
    </row>
    <row r="139" spans="2:5" ht="39.5" x14ac:dyDescent="0.35">
      <c r="B139" s="72" t="s">
        <v>338</v>
      </c>
      <c r="C139" s="107" t="s">
        <v>294</v>
      </c>
      <c r="D139" s="74">
        <f>J24</f>
        <v>25</v>
      </c>
      <c r="E139" t="str" cm="1">
        <f t="array" ref="E139">wrform(D139)</f>
        <v>0</v>
      </c>
    </row>
    <row r="140" spans="2:5" ht="78.75" customHeight="1" x14ac:dyDescent="0.35">
      <c r="B140" s="72" t="s">
        <v>339</v>
      </c>
      <c r="C140" s="107" t="s">
        <v>256</v>
      </c>
      <c r="D140" s="74">
        <f>(G23*1000)-SUM(L27:L30)</f>
        <v>284</v>
      </c>
      <c r="E140" t="e" cm="1">
        <f t="array" aca="1" ref="E140" ca="1">wrform(D140)</f>
        <v>#NAME?</v>
      </c>
    </row>
    <row r="141" spans="2:5" ht="47.5" x14ac:dyDescent="0.55000000000000004">
      <c r="B141" s="72" t="s">
        <v>340</v>
      </c>
      <c r="C141" s="72" t="s">
        <v>341</v>
      </c>
      <c r="D141" s="184">
        <f>MAX(D72,D73)*0.025*2^0.5*K24</f>
        <v>2.6900244941580236</v>
      </c>
      <c r="E141" t="e" cm="1">
        <f t="array" aca="1" ref="E141" ca="1">wrform(D141)</f>
        <v>#NAME?</v>
      </c>
    </row>
    <row r="142" spans="2:5" ht="47.5" x14ac:dyDescent="0.55000000000000004">
      <c r="B142" s="72" t="s">
        <v>342</v>
      </c>
      <c r="C142" s="72" t="s">
        <v>341</v>
      </c>
      <c r="D142" s="74">
        <f>MAX(D72,D73)*0.025*1.1547*K24</f>
        <v>2.1963947780220803</v>
      </c>
      <c r="E142" t="e" cm="1">
        <f t="array" aca="1" ref="E142" ca="1">wrform(D142)</f>
        <v>#NAME?</v>
      </c>
    </row>
    <row r="143" spans="2:5" ht="47.5" x14ac:dyDescent="0.55000000000000004">
      <c r="B143" s="72" t="s">
        <v>343</v>
      </c>
      <c r="C143" s="72" t="s">
        <v>341</v>
      </c>
      <c r="D143" s="169">
        <f>MAX(D72,D73)*0.025*2*K24</f>
        <v>3.8042691227541012</v>
      </c>
      <c r="E143" t="e" cm="1">
        <f t="array" aca="1" ref="E143" ca="1">wrform(D143)</f>
        <v>#NAME?</v>
      </c>
    </row>
    <row r="144" spans="2:5" ht="41.5" x14ac:dyDescent="0.35">
      <c r="B144" s="134" t="s">
        <v>301</v>
      </c>
      <c r="C144" s="133" t="s">
        <v>344</v>
      </c>
      <c r="D144" s="74">
        <f>((D140*2^0.5)-2*(VLOOKUP(D139,$O$6:$AD$16,14,FALSE)))/1000</f>
        <v>0.17563665171395901</v>
      </c>
      <c r="E144" t="e" cm="1">
        <f t="array" aca="1" ref="E144" ca="1">wrform(D144)</f>
        <v>#NAME?</v>
      </c>
    </row>
    <row r="145" spans="2:5" ht="41.5" x14ac:dyDescent="0.35">
      <c r="B145" s="72" t="s">
        <v>303</v>
      </c>
      <c r="C145" s="133" t="s">
        <v>345</v>
      </c>
      <c r="D145" s="74">
        <f>((D140*1.1547)-2*(VLOOKUP(D139,$O$6:$AD$16,15,FALSE)))/1000</f>
        <v>0.11793479999999999</v>
      </c>
      <c r="E145" t="e" cm="1">
        <f t="array" aca="1" ref="E145" ca="1">wrform(D145)</f>
        <v>#NAME?</v>
      </c>
    </row>
    <row r="146" spans="2:5" ht="40" x14ac:dyDescent="0.35">
      <c r="B146" s="72" t="s">
        <v>305</v>
      </c>
      <c r="C146" s="133" t="s">
        <v>346</v>
      </c>
      <c r="D146" s="169">
        <f>((D140*2)-2*(VLOOKUP(D139,$O$6:$AD$16,16,FALSE)))/1000</f>
        <v>0.31</v>
      </c>
      <c r="E146" t="e" cm="1">
        <f t="array" aca="1" ref="E146" ca="1">wrform(D146)</f>
        <v>#NAME?</v>
      </c>
    </row>
    <row r="147" spans="2:5" ht="16" x14ac:dyDescent="0.5">
      <c r="B147" s="72" t="s">
        <v>347</v>
      </c>
      <c r="C147" s="107" t="s">
        <v>274</v>
      </c>
      <c r="D147" s="74">
        <f>(PI()^2)*VLOOKUP(D139,$O$6:$T$16,6,FALSE)/(D144^2)</f>
        <v>1257.6310213409777</v>
      </c>
      <c r="E147" t="e" cm="1">
        <f t="array" aca="1" ref="E147" ca="1">wrform(D147)</f>
        <v>#NAME?</v>
      </c>
    </row>
    <row r="148" spans="2:5" x14ac:dyDescent="0.35">
      <c r="B148" s="72" t="s">
        <v>348</v>
      </c>
      <c r="C148" s="107" t="s">
        <v>276</v>
      </c>
      <c r="D148" s="74">
        <f>((VLOOKUP(D139,$O$6:$AA$16,4,FALSE)*$T$2)/(D147*1000))^0.5</f>
        <v>0.41205288305190962</v>
      </c>
      <c r="E148" t="e" cm="1">
        <f t="array" aca="1" ref="E148" ca="1">wrform(D148)</f>
        <v>#NAME?</v>
      </c>
    </row>
    <row r="149" spans="2:5" ht="16.5" x14ac:dyDescent="0.35">
      <c r="B149" s="72" t="s">
        <v>349</v>
      </c>
      <c r="C149" s="132" t="s">
        <v>278</v>
      </c>
      <c r="D149" s="74">
        <f>0.5*(1+0.49*(D148-0.2)+D148^2)</f>
        <v>0.63684674556341325</v>
      </c>
      <c r="E149" t="e" cm="1">
        <f t="array" aca="1" ref="E149" ca="1">wrform(D149)</f>
        <v>#NAME?</v>
      </c>
    </row>
    <row r="150" spans="2:5" x14ac:dyDescent="0.35">
      <c r="B150" s="72" t="s">
        <v>350</v>
      </c>
      <c r="C150" s="132" t="s">
        <v>279</v>
      </c>
      <c r="D150" s="74">
        <f>1/(D149+(D149^2-D148^2)^0.5)</f>
        <v>0.89092815892883737</v>
      </c>
      <c r="E150" t="e" cm="1">
        <f t="array" aca="1" ref="E150" ca="1">wrform(D150)</f>
        <v>#NAME?</v>
      </c>
    </row>
    <row r="151" spans="2:5" x14ac:dyDescent="0.35">
      <c r="B151" s="72" t="s">
        <v>351</v>
      </c>
      <c r="C151" s="132" t="s">
        <v>280</v>
      </c>
      <c r="D151" s="74">
        <f>(D150*(VLOOKUP(D139,$O$6:$AA$16,4,FALSE))*$T$2)/1000</f>
        <v>190.2400017422961</v>
      </c>
      <c r="E151" t="e" cm="1">
        <f t="array" aca="1" ref="E151" ca="1">wrform(D151)</f>
        <v>#NAME?</v>
      </c>
    </row>
    <row r="152" spans="2:5" ht="41.5" customHeight="1" x14ac:dyDescent="0.55000000000000004">
      <c r="B152" s="72" t="s">
        <v>312</v>
      </c>
      <c r="C152" s="107" t="s">
        <v>274</v>
      </c>
      <c r="D152" s="74">
        <f>(PI()^2)*VLOOKUP(D139,$O$6:$T$16,6,FALSE)/(D145^2)</f>
        <v>2789.3280235443772</v>
      </c>
      <c r="E152" t="e" cm="1">
        <f t="array" aca="1" ref="E152" ca="1">wrform(D152)</f>
        <v>#NAME?</v>
      </c>
    </row>
    <row r="153" spans="2:5" ht="17" x14ac:dyDescent="0.55000000000000004">
      <c r="B153" s="72" t="s">
        <v>313</v>
      </c>
      <c r="C153" s="107" t="s">
        <v>276</v>
      </c>
      <c r="D153" s="74">
        <f>((VLOOKUP(D139,$O$6:$AA$16,4,FALSE)*$T$2)/(D152*1000))^0.5</f>
        <v>0.27668128421903954</v>
      </c>
      <c r="E153" t="e" cm="1">
        <f t="array" aca="1" ref="E153" ca="1">wrform(D153)</f>
        <v>#NAME?</v>
      </c>
    </row>
    <row r="154" spans="2:5" ht="18.5" x14ac:dyDescent="0.55000000000000004">
      <c r="B154" s="72" t="s">
        <v>314</v>
      </c>
      <c r="C154" s="132" t="s">
        <v>278</v>
      </c>
      <c r="D154" s="74">
        <f>0.5*(1+0.49*(D153-0.2)+D153^2)</f>
        <v>0.55706318115221309</v>
      </c>
      <c r="E154" t="e" cm="1">
        <f t="array" aca="1" ref="E154" ca="1">wrform(D154)</f>
        <v>#NAME?</v>
      </c>
    </row>
    <row r="155" spans="2:5" ht="17" x14ac:dyDescent="0.55000000000000004">
      <c r="B155" s="72" t="s">
        <v>315</v>
      </c>
      <c r="C155" s="132" t="s">
        <v>279</v>
      </c>
      <c r="D155" s="74">
        <f>1/(D154+(D154^2-D153^2)^0.5)</f>
        <v>0.96102320362575699</v>
      </c>
      <c r="E155" t="e" cm="1">
        <f t="array" aca="1" ref="E155" ca="1">wrform(D155)</f>
        <v>#NAME?</v>
      </c>
    </row>
    <row r="156" spans="2:5" ht="17" x14ac:dyDescent="0.55000000000000004">
      <c r="B156" s="72" t="s">
        <v>316</v>
      </c>
      <c r="C156" s="132" t="s">
        <v>280</v>
      </c>
      <c r="D156" s="74">
        <f>(D155*(VLOOKUP(D139,$O$6:$AA$16,4,FALSE))*$T$2)/1000</f>
        <v>205.20740544553169</v>
      </c>
      <c r="E156" t="e" cm="1">
        <f t="array" aca="1" ref="E156" ca="1">wrform(D156)</f>
        <v>#NAME?</v>
      </c>
    </row>
    <row r="157" spans="2:5" ht="38.65" customHeight="1" x14ac:dyDescent="0.55000000000000004">
      <c r="B157" s="72" t="s">
        <v>317</v>
      </c>
      <c r="C157" s="107" t="s">
        <v>274</v>
      </c>
      <c r="D157" s="74">
        <f>(PI()^2)*VLOOKUP(D139,$O$6:$T$16,6,FALSE)/(D146^2)</f>
        <v>403.70130394602518</v>
      </c>
      <c r="E157" t="e" cm="1">
        <f t="array" aca="1" ref="E157" ca="1">wrform(D157)</f>
        <v>#NAME?</v>
      </c>
    </row>
    <row r="158" spans="2:5" ht="17" x14ac:dyDescent="0.55000000000000004">
      <c r="B158" s="72" t="s">
        <v>318</v>
      </c>
      <c r="C158" s="107" t="s">
        <v>276</v>
      </c>
      <c r="D158" s="74">
        <f>((VLOOKUP(D139,$O$6:$AA$16,4,FALSE)*$T$2)/(D157*1000))^0.5</f>
        <v>0.72727641127048392</v>
      </c>
      <c r="E158" t="e" cm="1">
        <f t="array" aca="1" ref="E158" ca="1">wrform(D158)</f>
        <v>#NAME?</v>
      </c>
    </row>
    <row r="159" spans="2:5" ht="18.5" x14ac:dyDescent="0.55000000000000004">
      <c r="B159" s="72" t="s">
        <v>319</v>
      </c>
      <c r="C159" s="132" t="s">
        <v>278</v>
      </c>
      <c r="D159" s="74">
        <f>0.5*(1+0.49*(D158-0.2)+D158^2)</f>
        <v>0.89364820995650562</v>
      </c>
      <c r="E159" t="e" cm="1">
        <f t="array" aca="1" ref="E159" ca="1">wrform(D159)</f>
        <v>#NAME?</v>
      </c>
    </row>
    <row r="160" spans="2:5" ht="17" x14ac:dyDescent="0.55000000000000004">
      <c r="B160" s="72" t="s">
        <v>320</v>
      </c>
      <c r="C160" s="132" t="s">
        <v>279</v>
      </c>
      <c r="D160" s="74">
        <f>1/(D159+(D159^2-D158^2)^0.5)</f>
        <v>0.70773826137112972</v>
      </c>
      <c r="E160" t="e" cm="1">
        <f t="array" aca="1" ref="E160" ca="1">wrform(D160)</f>
        <v>#NAME?</v>
      </c>
    </row>
    <row r="161" spans="2:5" ht="17" x14ac:dyDescent="0.55000000000000004">
      <c r="B161" s="72" t="s">
        <v>321</v>
      </c>
      <c r="C161" s="132" t="s">
        <v>280</v>
      </c>
      <c r="D161" s="74">
        <f>(D160*(VLOOKUP(D139,$O$6:$AA$16,4,FALSE))*$T$2)/1000</f>
        <v>151.12343989464998</v>
      </c>
      <c r="E161" t="e" cm="1">
        <f t="array" aca="1" ref="E161" ca="1">wrform(D161)</f>
        <v>#NAME?</v>
      </c>
    </row>
    <row r="162" spans="2:5" ht="17" x14ac:dyDescent="0.55000000000000004">
      <c r="B162" s="72" t="s">
        <v>322</v>
      </c>
      <c r="C162" s="132" t="s">
        <v>284</v>
      </c>
      <c r="D162" s="74">
        <f>D141/D151</f>
        <v>1.4140162266198875E-2</v>
      </c>
      <c r="E162" t="e" cm="1">
        <f t="array" aca="1" ref="E162" ca="1">wrform(D162)</f>
        <v>#NAME?</v>
      </c>
    </row>
    <row r="163" spans="2:5" ht="17" x14ac:dyDescent="0.55000000000000004">
      <c r="B163" s="72" t="s">
        <v>323</v>
      </c>
      <c r="C163" s="132" t="s">
        <v>284</v>
      </c>
      <c r="D163" s="74">
        <f>D142/D156</f>
        <v>1.0703291985264492E-2</v>
      </c>
      <c r="E163" t="e" cm="1">
        <f t="array" aca="1" ref="E163" ca="1">wrform(D163)</f>
        <v>#NAME?</v>
      </c>
    </row>
    <row r="164" spans="2:5" ht="17" x14ac:dyDescent="0.55000000000000004">
      <c r="B164" s="72" t="s">
        <v>324</v>
      </c>
      <c r="C164" s="132" t="s">
        <v>284</v>
      </c>
      <c r="D164" s="74">
        <f>D143/D161</f>
        <v>2.5173256547138579E-2</v>
      </c>
      <c r="E164" t="e" cm="1">
        <f t="array" aca="1" ref="E164" ca="1">wrform(D164)</f>
        <v>#NAME?</v>
      </c>
    </row>
    <row r="165" spans="2:5" ht="31" x14ac:dyDescent="0.55000000000000004">
      <c r="B165" s="72" t="s">
        <v>325</v>
      </c>
      <c r="C165" s="133" t="s">
        <v>352</v>
      </c>
      <c r="D165" s="74">
        <f>(VLOOKUP(D139,$O$4:$Q$16,3,FALSE)*9.81*1.35/1000)*(D144^2/8)</f>
        <v>1.9681346061045467E-4</v>
      </c>
      <c r="E165" t="e" cm="1">
        <f t="array" aca="1" ref="E165" ca="1">wrform(D165)</f>
        <v>#NAME?</v>
      </c>
    </row>
    <row r="166" spans="2:5" ht="31" x14ac:dyDescent="0.55000000000000004">
      <c r="B166" s="72" t="s">
        <v>327</v>
      </c>
      <c r="C166" s="133" t="s">
        <v>328</v>
      </c>
      <c r="D166" s="74">
        <f>(VLOOKUP(D139,$O$4:$Q$16,3,FALSE)*9.81*1.35/1000)*(D145^2/8)</f>
        <v>8.8737757406767188E-5</v>
      </c>
      <c r="E166" t="e" cm="1">
        <f t="array" aca="1" ref="E166" ca="1">wrform(D166)</f>
        <v>#NAME?</v>
      </c>
    </row>
    <row r="167" spans="2:5" ht="31" x14ac:dyDescent="0.55000000000000004">
      <c r="B167" s="72" t="s">
        <v>329</v>
      </c>
      <c r="C167" s="133" t="s">
        <v>330</v>
      </c>
      <c r="D167" s="169">
        <f>(VLOOKUP(D139,$O$4:$Q$16,3,FALSE)*9.81*1.35/1000)*(D146^2/8)</f>
        <v>6.1312339361250016E-4</v>
      </c>
      <c r="E167" t="e" cm="1">
        <f t="array" aca="1" ref="E167" ca="1">wrform(D167)</f>
        <v>#NAME?</v>
      </c>
    </row>
    <row r="168" spans="2:5" ht="31" x14ac:dyDescent="0.55000000000000004">
      <c r="B168" s="72" t="s">
        <v>331</v>
      </c>
      <c r="C168" s="133" t="s">
        <v>290</v>
      </c>
      <c r="D168" s="74">
        <f>D165/(VLOOKUP(D139,$O$6:$AD$16,11,FALSE))</f>
        <v>2.6073847261673036E-4</v>
      </c>
      <c r="E168" t="e" cm="1">
        <f t="array" aca="1" ref="E168" ca="1">wrform(D168)</f>
        <v>#NAME?</v>
      </c>
    </row>
    <row r="169" spans="2:5" ht="17" x14ac:dyDescent="0.35">
      <c r="B169" s="159" t="s">
        <v>332</v>
      </c>
      <c r="C169" s="134" t="s">
        <v>332</v>
      </c>
      <c r="D169" s="158">
        <f>D162+D168</f>
        <v>1.4400900738815605E-2</v>
      </c>
      <c r="E169" t="e" cm="1">
        <f t="array" aca="1" ref="E169" ca="1">wrform(D169)</f>
        <v>#NAME?</v>
      </c>
    </row>
    <row r="170" spans="2:5" ht="31" x14ac:dyDescent="0.55000000000000004">
      <c r="B170" s="72" t="s">
        <v>333</v>
      </c>
      <c r="C170" s="133" t="s">
        <v>290</v>
      </c>
      <c r="D170" s="74">
        <f>D166/(VLOOKUP(D139,$O$6:$AA$16,11,FALSE))</f>
        <v>1.1755978101248517E-4</v>
      </c>
      <c r="E170" t="e" cm="1">
        <f t="array" aca="1" ref="E170" ca="1">wrform(D170)</f>
        <v>#NAME?</v>
      </c>
    </row>
    <row r="171" spans="2:5" ht="17" x14ac:dyDescent="0.35">
      <c r="B171" s="159" t="s">
        <v>334</v>
      </c>
      <c r="C171" s="134" t="s">
        <v>334</v>
      </c>
      <c r="D171" s="158">
        <f>D163+D170</f>
        <v>1.0820851766276977E-2</v>
      </c>
      <c r="E171" t="e" cm="1">
        <f t="array" aca="1" ref="E171" ca="1">wrform(D171)</f>
        <v>#NAME?</v>
      </c>
    </row>
    <row r="172" spans="2:5" ht="31" x14ac:dyDescent="0.55000000000000004">
      <c r="B172" s="72" t="s">
        <v>335</v>
      </c>
      <c r="C172" s="133" t="s">
        <v>290</v>
      </c>
      <c r="D172" s="74">
        <f>D167/(VLOOKUP(D139,$O$6:$AA$16,11,FALSE))</f>
        <v>8.1226587185784021E-4</v>
      </c>
      <c r="E172" t="e" cm="1">
        <f t="array" aca="1" ref="E172" ca="1">wrform(D172)</f>
        <v>#NAME?</v>
      </c>
    </row>
    <row r="173" spans="2:5" ht="23.15" customHeight="1" x14ac:dyDescent="0.35">
      <c r="B173" s="159" t="s">
        <v>336</v>
      </c>
      <c r="C173" s="134" t="s">
        <v>336</v>
      </c>
      <c r="D173" s="158">
        <f>D164+D172</f>
        <v>2.5985522418996418E-2</v>
      </c>
      <c r="E173" t="e" cm="1">
        <f t="array" aca="1" ref="E173" ca="1">wrform(D173)</f>
        <v>#NAME?</v>
      </c>
    </row>
    <row r="174" spans="2:5" ht="23.15" customHeight="1" x14ac:dyDescent="0.35">
      <c r="B174" s="159" t="s">
        <v>337</v>
      </c>
      <c r="C174" s="134" t="s">
        <v>337</v>
      </c>
      <c r="D174" s="158">
        <f>MAX(D169,D171,D173)</f>
        <v>2.5985522418996418E-2</v>
      </c>
      <c r="E174" t="e" cm="1">
        <f t="array" aca="1" ref="E174" ca="1">wrform(D174)</f>
        <v>#NAME?</v>
      </c>
    </row>
    <row r="175" spans="2:5" x14ac:dyDescent="0.35">
      <c r="B175" s="72" t="s">
        <v>292</v>
      </c>
      <c r="C175" s="133" t="s">
        <v>292</v>
      </c>
      <c r="D175" s="74" t="str">
        <f>IF(OR(D174&lt;1),"OK","NOT OK")</f>
        <v>OK</v>
      </c>
      <c r="E175" t="e" cm="1">
        <f t="array" aca="1" ref="E175" ca="1">wrform(D175)</f>
        <v>#NAME?</v>
      </c>
    </row>
  </sheetData>
  <sheetProtection algorithmName="SHA-512" hashValue="Uj/+bj3hiCWKU6+DYpKhQsTRoRhiJGQe1ObCaWD60ImBRMGCCkk9z/ndrBu3I8Ac3q4O8BiUEl7jGScPQ8XESw==" saltValue="An6TLeIRZadIKzIZiZ7xzA==" spinCount="100000" sheet="1" objects="1" scenarios="1"/>
  <mergeCells count="1">
    <mergeCell ref="H22:K22"/>
  </mergeCells>
  <phoneticPr fontId="8" type="noConversion"/>
  <dataValidations disablePrompts="1" count="1">
    <dataValidation type="list" allowBlank="1" showInputMessage="1" showErrorMessage="1" sqref="J4:J20" xr:uid="{EB397E56-374E-4DFE-AA39-EF407F480DC7}">
      <formula1>Bar_Diameter</formula1>
    </dataValidation>
  </dataValidations>
  <pageMargins left="0.7" right="0.7" top="0.75" bottom="0.75" header="0.3" footer="0.3"/>
  <pageSetup paperSize="8" orientation="portrait" r:id="rId1"/>
  <headerFooter>
    <oddHeader>&amp;L&amp;"Century Gothic"&amp;10&amp;K000000 Business&amp;1#_x000D_</oddHeader>
  </headerFooter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BF6DF20B-745F-4C71-B17C-1DC3644CCC2E}">
          <x14:formula1>
            <xm:f>Lists!$B$3:$B$9</xm:f>
          </x14:formula1>
          <xm:sqref>H24:J24 K4</xm:sqref>
        </x14:dataValidation>
        <x14:dataValidation type="list" allowBlank="1" showInputMessage="1" showErrorMessage="1" xr:uid="{B90B3BA4-2EC4-463A-8544-EEE31D7AF8A8}">
          <x14:formula1>
            <xm:f>Lists!$K$4:$K$5</xm:f>
          </x14:formula1>
          <xm:sqref>K7 K14 K16 K18:K20 K5 K9:K12</xm:sqref>
        </x14:dataValidation>
        <x14:dataValidation type="list" allowBlank="1" showInputMessage="1" showErrorMessage="1" xr:uid="{AA0E4F83-DE7A-49BE-B52C-F3CBADA46312}">
          <x14:formula1>
            <xm:f>Lists!$E$3:$E$12</xm:f>
          </x14:formula1>
          <xm:sqref>M23 K24:L24</xm:sqref>
        </x14:dataValidation>
        <x14:dataValidation type="list" allowBlank="1" showInputMessage="1" showErrorMessage="1" xr:uid="{D1AD5ADD-33FA-4B5C-913D-417BE426F206}">
          <x14:formula1>
            <xm:f>Lists!$B$4:$B$9</xm:f>
          </x14:formula1>
          <xm:sqref>G4:I20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CA889-05CF-431B-A5B3-DED9B1BA6E5A}">
  <sheetPr codeName="Sheet5"/>
  <dimension ref="B1:O10"/>
  <sheetViews>
    <sheetView workbookViewId="0">
      <selection activeCell="P2" sqref="P2:Q9"/>
    </sheetView>
  </sheetViews>
  <sheetFormatPr defaultRowHeight="14.5" x14ac:dyDescent="0.35"/>
  <sheetData>
    <row r="1" spans="2:15" x14ac:dyDescent="0.35">
      <c r="F1">
        <v>0.3</v>
      </c>
    </row>
    <row r="2" spans="2:15" ht="15" thickBot="1" x14ac:dyDescent="0.4">
      <c r="F2">
        <v>0.5</v>
      </c>
    </row>
    <row r="3" spans="2:15" x14ac:dyDescent="0.35">
      <c r="B3" s="160">
        <v>0</v>
      </c>
      <c r="D3" t="s">
        <v>353</v>
      </c>
      <c r="E3">
        <v>1</v>
      </c>
      <c r="F3">
        <v>0.8</v>
      </c>
      <c r="H3" s="165">
        <v>0</v>
      </c>
      <c r="J3" t="s">
        <v>354</v>
      </c>
      <c r="K3" s="41"/>
      <c r="N3">
        <v>0</v>
      </c>
      <c r="O3">
        <v>0</v>
      </c>
    </row>
    <row r="4" spans="2:15" x14ac:dyDescent="0.35">
      <c r="B4" s="161">
        <v>12</v>
      </c>
      <c r="D4" t="s">
        <v>355</v>
      </c>
      <c r="E4">
        <v>2</v>
      </c>
      <c r="F4">
        <v>1.1000000000000001</v>
      </c>
      <c r="H4" s="166">
        <v>0.2</v>
      </c>
      <c r="J4" t="s">
        <v>356</v>
      </c>
      <c r="K4" s="41" t="s">
        <v>139</v>
      </c>
      <c r="N4">
        <v>12</v>
      </c>
      <c r="O4">
        <v>14</v>
      </c>
    </row>
    <row r="5" spans="2:15" x14ac:dyDescent="0.35">
      <c r="B5" s="161">
        <v>16</v>
      </c>
      <c r="D5" t="s">
        <v>357</v>
      </c>
      <c r="E5">
        <v>3</v>
      </c>
      <c r="F5">
        <v>1.5</v>
      </c>
      <c r="H5" s="166">
        <v>0.4</v>
      </c>
      <c r="K5" s="41" t="s">
        <v>358</v>
      </c>
      <c r="N5">
        <v>16</v>
      </c>
      <c r="O5">
        <v>19</v>
      </c>
    </row>
    <row r="6" spans="2:15" x14ac:dyDescent="0.35">
      <c r="B6" s="162">
        <v>20</v>
      </c>
      <c r="E6">
        <v>4</v>
      </c>
      <c r="F6">
        <v>2.6</v>
      </c>
      <c r="H6" s="166">
        <v>0.6</v>
      </c>
      <c r="N6">
        <v>20</v>
      </c>
      <c r="O6">
        <v>23</v>
      </c>
    </row>
    <row r="7" spans="2:15" x14ac:dyDescent="0.35">
      <c r="B7" s="162">
        <v>25</v>
      </c>
      <c r="E7">
        <v>5</v>
      </c>
      <c r="H7" s="166">
        <v>0.8</v>
      </c>
      <c r="N7">
        <v>25</v>
      </c>
      <c r="O7">
        <v>29</v>
      </c>
    </row>
    <row r="8" spans="2:15" x14ac:dyDescent="0.35">
      <c r="B8" s="82">
        <v>32</v>
      </c>
      <c r="E8">
        <v>6</v>
      </c>
      <c r="H8" s="166">
        <v>1</v>
      </c>
      <c r="N8">
        <v>32</v>
      </c>
      <c r="O8">
        <v>37</v>
      </c>
    </row>
    <row r="9" spans="2:15" ht="15" thickBot="1" x14ac:dyDescent="0.4">
      <c r="B9" s="163">
        <v>40</v>
      </c>
      <c r="H9" s="167">
        <v>1.2</v>
      </c>
      <c r="N9">
        <v>40</v>
      </c>
      <c r="O9">
        <v>46</v>
      </c>
    </row>
    <row r="10" spans="2:15" ht="15" thickBot="1" x14ac:dyDescent="0.4">
      <c r="B10" s="164">
        <v>50</v>
      </c>
    </row>
  </sheetData>
  <pageMargins left="0.7" right="0.7" top="0.75" bottom="0.75" header="0.3" footer="0.3"/>
  <headerFooter>
    <oddHeader>&amp;L&amp;"Century Gothic"&amp;10&amp;K000000 Business&amp;1#_x000D_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ef8ed37-b154-475c-853b-6a24a15e75e1">
      <Terms xmlns="http://schemas.microsoft.com/office/infopath/2007/PartnerControls"/>
    </lcf76f155ced4ddcb4097134ff3c332f>
    <Status xmlns="1ef8ed37-b154-475c-853b-6a24a15e75e1" xsi:nil="true"/>
    <TaxCatchAll xmlns="a2f812ef-9683-4d27-a31c-fadb3996cbb1" xsi:nil="true"/>
    <IncludeonBylorTWCR xmlns="1ef8ed37-b154-475c-853b-6a24a15e75e1">false</IncludeonBylorTWCR>
    <Expires xmlns="1ef8ed37-b154-475c-853b-6a24a15e75e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921EBBF3102194A8287DFCF4FE5C174" ma:contentTypeVersion="19" ma:contentTypeDescription="Create a new document." ma:contentTypeScope="" ma:versionID="7696c2fcf3b68ce9f052d7fc665b67db">
  <xsd:schema xmlns:xsd="http://www.w3.org/2001/XMLSchema" xmlns:xs="http://www.w3.org/2001/XMLSchema" xmlns:p="http://schemas.microsoft.com/office/2006/metadata/properties" xmlns:ns2="1ef8ed37-b154-475c-853b-6a24a15e75e1" xmlns:ns3="a2f812ef-9683-4d27-a31c-fadb3996cbb1" targetNamespace="http://schemas.microsoft.com/office/2006/metadata/properties" ma:root="true" ma:fieldsID="86c9d0dfbc50923007277b4055a69de1" ns2:_="" ns3:_="">
    <xsd:import namespace="1ef8ed37-b154-475c-853b-6a24a15e75e1"/>
    <xsd:import namespace="a2f812ef-9683-4d27-a31c-fadb3996cb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Location" minOccurs="0"/>
                <xsd:element ref="ns2:MediaLengthInSeconds" minOccurs="0"/>
                <xsd:element ref="ns2:MediaServiceObjectDetectorVersions" minOccurs="0"/>
                <xsd:element ref="ns2:Status" minOccurs="0"/>
                <xsd:element ref="ns2:IncludeonBylorTWCR" minOccurs="0"/>
                <xsd:element ref="ns2:MediaServiceSearchProperties" minOccurs="0"/>
                <xsd:element ref="ns2:MediaServiceBillingMetadata" minOccurs="0"/>
                <xsd:element ref="ns2:Expir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f8ed37-b154-475c-853b-6a24a15e75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cb160364-55e1-4895-b5f8-0b200ced270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Status" ma:index="22" nillable="true" ma:displayName="Status" ma:format="Dropdown" ma:internalName="Status">
      <xsd:simpleType>
        <xsd:union memberTypes="dms:Text">
          <xsd:simpleType>
            <xsd:restriction base="dms:Choice">
              <xsd:enumeration value="Draft"/>
              <xsd:enumeration value="Approved"/>
              <xsd:enumeration value="Under Review"/>
            </xsd:restriction>
          </xsd:simpleType>
        </xsd:union>
      </xsd:simpleType>
    </xsd:element>
    <xsd:element name="IncludeonBylorTWCR" ma:index="23" nillable="true" ma:displayName="Include on Bylor TWCR" ma:default="0" ma:format="Dropdown" ma:internalName="IncludeonBylorTWCR">
      <xsd:simpleType>
        <xsd:restriction base="dms:Boolean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  <xsd:element name="Expires" ma:index="26" nillable="true" ma:displayName="Expires" ma:format="DateOnly" ma:internalName="Expires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f812ef-9683-4d27-a31c-fadb3996cbb1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b72e0c8c-1669-4877-8dbf-3bedeeb2432b}" ma:internalName="TaxCatchAll" ma:showField="CatchAllData" ma:web="a2f812ef-9683-4d27-a31c-fadb3996cb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4A00DD2-BB96-4822-B7CA-395C6201060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7EF4370-22B0-4586-9E84-446A51E09CA6}">
  <ds:schemaRefs>
    <ds:schemaRef ds:uri="http://schemas.microsoft.com/office/2006/metadata/properties"/>
    <ds:schemaRef ds:uri="http://schemas.microsoft.com/office/infopath/2007/PartnerControls"/>
    <ds:schemaRef ds:uri="1ef8ed37-b154-475c-853b-6a24a15e75e1"/>
    <ds:schemaRef ds:uri="a2f812ef-9683-4d27-a31c-fadb3996cbb1"/>
  </ds:schemaRefs>
</ds:datastoreItem>
</file>

<file path=customXml/itemProps3.xml><?xml version="1.0" encoding="utf-8"?>
<ds:datastoreItem xmlns:ds="http://schemas.openxmlformats.org/officeDocument/2006/customXml" ds:itemID="{7D24EC07-41E4-4147-8710-B6C064E6FC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f8ed37-b154-475c-853b-6a24a15e75e1"/>
    <ds:schemaRef ds:uri="a2f812ef-9683-4d27-a31c-fadb3996cb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47f41cc9-f9f5-4116-a8cf-c7b5d298908f}" enabled="1" method="Privileged" siteId="{95baa318-b818-4676-8a0f-5a95a646c3c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Span Lookup</vt:lpstr>
      <vt:lpstr>Lifting Calculation</vt:lpstr>
      <vt:lpstr>Lists</vt:lpstr>
      <vt:lpstr>Bar_Diameter</vt:lpstr>
      <vt:lpstr>Pour_Thickness</vt:lpstr>
      <vt:lpstr>UDL_Factor</vt:lpstr>
      <vt:lpstr>Yes_No</vt:lpstr>
    </vt:vector>
  </TitlesOfParts>
  <Manager/>
  <Company>LOR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Whitworth, Matthew</dc:creator>
  <cp:keywords/>
  <dc:description/>
  <cp:lastModifiedBy>Ateloye, Ayodele</cp:lastModifiedBy>
  <cp:revision/>
  <dcterms:created xsi:type="dcterms:W3CDTF">2024-01-24T17:04:00Z</dcterms:created>
  <dcterms:modified xsi:type="dcterms:W3CDTF">2026-03-03T17:30:38Z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f41cc9-f9f5-4116-a8cf-c7b5d298908f_Enabled">
    <vt:lpwstr>true</vt:lpwstr>
  </property>
  <property fmtid="{D5CDD505-2E9C-101B-9397-08002B2CF9AE}" pid="3" name="MSIP_Label_47f41cc9-f9f5-4116-a8cf-c7b5d298908f_SetDate">
    <vt:lpwstr>2024-11-10T14:06:22Z</vt:lpwstr>
  </property>
  <property fmtid="{D5CDD505-2E9C-101B-9397-08002B2CF9AE}" pid="4" name="MSIP_Label_47f41cc9-f9f5-4116-a8cf-c7b5d298908f_Method">
    <vt:lpwstr>Privileged</vt:lpwstr>
  </property>
  <property fmtid="{D5CDD505-2E9C-101B-9397-08002B2CF9AE}" pid="5" name="MSIP_Label_47f41cc9-f9f5-4116-a8cf-c7b5d298908f_Name">
    <vt:lpwstr>Business</vt:lpwstr>
  </property>
  <property fmtid="{D5CDD505-2E9C-101B-9397-08002B2CF9AE}" pid="6" name="MSIP_Label_47f41cc9-f9f5-4116-a8cf-c7b5d298908f_SiteId">
    <vt:lpwstr>95baa318-b818-4676-8a0f-5a95a646c3c1</vt:lpwstr>
  </property>
  <property fmtid="{D5CDD505-2E9C-101B-9397-08002B2CF9AE}" pid="7" name="MSIP_Label_47f41cc9-f9f5-4116-a8cf-c7b5d298908f_ActionId">
    <vt:lpwstr>c66de85e-5fa4-4337-8776-f2cb92b425b5</vt:lpwstr>
  </property>
  <property fmtid="{D5CDD505-2E9C-101B-9397-08002B2CF9AE}" pid="8" name="MSIP_Label_47f41cc9-f9f5-4116-a8cf-c7b5d298908f_ContentBits">
    <vt:lpwstr>1</vt:lpwstr>
  </property>
  <property fmtid="{D5CDD505-2E9C-101B-9397-08002B2CF9AE}" pid="9" name="ContentTypeId">
    <vt:lpwstr>0x0101000921EBBF3102194A8287DFCF4FE5C174</vt:lpwstr>
  </property>
  <property fmtid="{D5CDD505-2E9C-101B-9397-08002B2CF9AE}" pid="10" name="MediaServiceImageTags">
    <vt:lpwstr/>
  </property>
</Properties>
</file>